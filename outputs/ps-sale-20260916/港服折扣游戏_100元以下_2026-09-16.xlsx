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25e61fafd40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可买清单" sheetId="1" r:id="R51806665559e437e"/>
    <x:sheet xmlns:r="http://schemas.openxmlformats.org/officeDocument/2006/relationships" name="排除记录" sheetId="2" r:id="Rc4774ac3449043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"/>
    <x:numFmt numFmtId="201" formatCode="yyyy-mm-dd"/>
    <x:numFmt numFmtId="202" formatCode="0.00"/>
    <x:numFmt numFmtId="203" formatCode="0%"/>
    <x:numFmt numFmtId="204" formatCode="#,##0"/>
    <x:numFmt numFmtId="205" formatCode="mm-dd hh:mm"/>
  </x:numFmts>
  <x:fonts count="7">
    <x:font>
      <x:sz val="11"/>
      <x:name val="Carlito"/>
    </x:font>
    <x:font>
      <x:sz val="11"/>
      <x:color rgb="FF202A38"/>
      <x:name val="Arial"/>
    </x:font>
    <x:font>
      <x:b/>
      <x:sz val="16"/>
      <x:color rgb="FF202A38"/>
      <x:name val="Arial"/>
    </x:font>
    <x:font>
      <x:sz val="11"/>
      <x:color rgb="FF2463A0"/>
      <x:name val="Arial"/>
    </x:font>
    <x:font>
      <x:b/>
      <x:sz val="11"/>
      <x:color rgb="FFFFFFFF"/>
      <x:name val="Arial"/>
    </x:font>
    <x:font>
      <x:b/>
      <x:sz val="11"/>
      <x:color rgb="FF194C75"/>
      <x:name val="Arial"/>
    </x:font>
    <x:font>
      <x:sz val="11"/>
      <x:color rgb="FF58657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43B60"/>
      </x:patternFill>
    </x:fill>
    <x:fill>
      <x:patternFill patternType="solid">
        <x:fgColor rgb="FFF0F4F8"/>
      </x:patternFill>
    </x:fill>
    <x:fill>
      <x:patternFill patternType="solid">
        <x:fgColor rgb="FFFFFFFF"/>
      </x:patternFill>
    </x:fill>
  </x:fills>
  <x:borders count="5">
    <x:border/>
    <x:border>
      <x:bottom style="thin">
        <x:color rgb="FFCCD5E0"/>
      </x:bottom>
    </x:border>
    <x:border diagonalUp="0" diagonalDown="0">
      <x:left style="none"/>
      <x:top style="none"/>
      <x:bottom style="none"/>
    </x:border>
    <x:border diagonalUp="0" diagonalDown="0">
      <x:top style="none"/>
      <x:bottom style="none"/>
    </x:border>
    <x:border diagonalUp="0" diagonalDown="0">
      <x:right style="none"/>
      <x:top style="none"/>
      <x:bottom style="none"/>
    </x:border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2" fontId="5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5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/>
    </x:xf>
    <x:xf numFmtId="202" fontId="5" fillId="4" borderId="3" xfId="0" applyNumberFormat="1" applyFont="1" applyFill="1" applyBorder="1" applyAlignment="1">
      <x:alignment vertical="center"/>
    </x:xf>
    <x:xf numFmtId="202" fontId="1" fillId="4" borderId="3" xfId="0" applyNumberFormat="1" applyFont="1" applyFill="1" applyBorder="1" applyAlignment="1">
      <x:alignment vertical="center"/>
    </x:xf>
    <x:xf numFmtId="203" fontId="1" fillId="4" borderId="3" xfId="0" applyNumberFormat="1" applyFont="1" applyFill="1" applyBorder="1" applyAlignment="1">
      <x:alignment vertical="center"/>
    </x:xf>
    <x:xf numFmtId="204" fontId="1" fillId="4" borderId="3" xfId="0" applyNumberFormat="1" applyFont="1" applyFill="1" applyBorder="1" applyAlignment="1">
      <x:alignment vertical="center"/>
    </x:xf>
    <x:xf numFmtId="205" fontId="1" fillId="4" borderId="3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2" fontId="5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/>
    </x:xf>
    <x:xf numFmtId="202" fontId="5" fillId="5" borderId="3" xfId="0" applyNumberFormat="1" applyFont="1" applyFill="1" applyBorder="1" applyAlignment="1">
      <x:alignment vertical="center"/>
    </x:xf>
    <x:xf numFmtId="202" fontId="1" fillId="5" borderId="3" xfId="0" applyNumberFormat="1" applyFont="1" applyFill="1" applyBorder="1" applyAlignment="1">
      <x:alignment vertical="center"/>
    </x:xf>
    <x:xf numFmtId="203" fontId="1" fillId="5" borderId="3" xfId="0" applyNumberFormat="1" applyFont="1" applyFill="1" applyBorder="1" applyAlignment="1">
      <x:alignment vertical="center"/>
    </x:xf>
    <x:xf numFmtId="204" fontId="1" fillId="5" borderId="3" xfId="0" applyNumberFormat="1" applyFont="1" applyFill="1" applyBorder="1" applyAlignment="1">
      <x:alignment vertical="center"/>
    </x:xf>
    <x:xf numFmtId="205" fontId="1" fillId="5" borderId="3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horizontal="center" vertical="center"/>
    </x:xf>
    <x:xf numFmtId="0" fontId="1" fillId="5" borderId="2" xfId="0" applyNumberFormat="1" applyFont="1" applyFill="1" applyBorder="1" applyAlignment="1">
      <x:alignment horizontal="center" vertical="center"/>
    </x:xf>
    <x:xf numFmtId="0" fontId="1" fillId="4" borderId="3" xfId="0" applyNumberFormat="1" applyFont="1" applyFill="1" applyBorder="1" applyAlignment="1">
      <x:alignment horizontal="center" vertical="center"/>
    </x:xf>
    <x:xf numFmtId="0" fontId="1" fillId="5" borderId="3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6" fillId="4" borderId="4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horizontal="center" vertical="center"/>
    </x:xf>
    <x:xf numFmtId="0" fontId="1" fillId="5" borderId="4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5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9C2924"/>
      </x:font>
      <x:fill>
        <x:patternFill patternType="solid">
          <x:bgColor rgb="FFFCE1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1a820af17d4434" /><Relationship Type="http://schemas.openxmlformats.org/officeDocument/2006/relationships/theme" Target="/xl/theme/theme1.xml" Id="R275f6ace389d4262" /><Relationship Type="http://schemas.openxmlformats.org/officeDocument/2006/relationships/sharedStrings" Target="/xl/sharedStrings.xml" Id="R3390f48f6e664afd" /><Relationship Type="http://schemas.openxmlformats.org/officeDocument/2006/relationships/worksheet" Target="/xl/worksheets/sheet1.xml" Id="R51806665559e437e" /><Relationship Type="http://schemas.openxmlformats.org/officeDocument/2006/relationships/worksheet" Target="/xl/worksheets/sheet2.xml" Id="Rc4774ac344904310" /></Relationships>
</file>

<file path=xl/tables/table1.xml><?xml version="1.0" encoding="utf-8"?>
<x:table xmlns:x="http://schemas.openxmlformats.org/spreadsheetml/2006/main" id="1" name="SaleGames" displayName="SaleGames" ref="A7:M419" headerRowCount="1" totalsRowCount="0" totalsRowShown="0">
  <x:autoFilter ref="A7:M419"/>
  <x:tableColumns count="13">
    <x:tableColumn id="1" name="序号"/>
    <x:tableColumn id="2" name="游戏 / 版本"/>
    <x:tableColumn id="3" name="平台"/>
    <x:tableColumn id="4" name="约人民币"/>
    <x:tableColumn id="5" name="折后港币"/>
    <x:tableColumn id="6" name="降价幅度"/>
    <x:tableColumn id="7" name="中文支持"/>
    <x:tableColumn id="8" name="PS评分 / 5"/>
    <x:tableColumn id="9" name="评价人数"/>
    <x:tableColumn id="10" name="截止（北京时间）"/>
    <x:tableColumn id="11" name="二档权益"/>
    <x:tableColumn id="12" name="港服链接"/>
    <x:tableColumn id="13" name="版本 / 权益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cludedProducts" displayName="ExcludedProducts" ref="A7:G65" headerRowCount="1" totalsRowCount="0" totalsRowShown="0">
  <x:autoFilter ref="A7:G65"/>
  <x:tableColumns count="7">
    <x:tableColumn id="1" name="序号"/>
    <x:tableColumn id="2" name="商品名称"/>
    <x:tableColumn id="3" name="平台"/>
    <x:tableColumn id="4" name="当前港币"/>
    <x:tableColumn id="5" name="约人民币"/>
    <x:tableColumn id="6" name="排除原因"/>
    <x:tableColumn id="7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295beed195204ce6" /><ns0:Relationship Id="rIdWeb1" Type="http://schemas.openxmlformats.org/officeDocument/2006/relationships/hyperlink" Target="https://store.playstation.com/zh-hant-hk/product/UP0002-CUSA03005_00-ASIACODBO3GAME02" TargetMode="External" /><ns0:Relationship Id="rIdWeb2" Type="http://schemas.openxmlformats.org/officeDocument/2006/relationships/hyperlink" Target="https://store.playstation.com/zh-hant-hk/product/HP0002-CUSA05357_00-ASIAPLACEHOLDER0" TargetMode="External" /><ns0:Relationship Id="rIdWeb3" Type="http://schemas.openxmlformats.org/officeDocument/2006/relationships/hyperlink" Target="https://store.playstation.com/zh-hant-hk/product/UP0006-CUSA02429_00-ASIA000000000036" TargetMode="External" /><ns0:Relationship Id="rIdWeb4" Type="http://schemas.openxmlformats.org/officeDocument/2006/relationships/hyperlink" Target="https://store.playstation.com/zh-hant-hk/product/UP0006-CUSA04027_00-ASIAPLACEHOLDER0" TargetMode="External" /><ns0:Relationship Id="rIdWeb5" Type="http://schemas.openxmlformats.org/officeDocument/2006/relationships/hyperlink" Target="https://store.playstation.com/zh-hant-hk/product/HP0700-CUSA08797_00-ASIAPLACEHOLDER0" TargetMode="External" /><ns0:Relationship Id="rIdWeb6" Type="http://schemas.openxmlformats.org/officeDocument/2006/relationships/hyperlink" Target="https://store.playstation.com/zh-hant-hk/product/UP1018-PPSA01617_00-MK11ULTIMATEKOLL" TargetMode="External" /><ns0:Relationship Id="rIdWeb7" Type="http://schemas.openxmlformats.org/officeDocument/2006/relationships/hyperlink" Target="https://store.playstation.com/zh-hant-hk/product/HP0700-PPSA09788_00-ASIAPLACEHOLDER1" TargetMode="External" /><ns0:Relationship Id="rIdWeb8" Type="http://schemas.openxmlformats.org/officeDocument/2006/relationships/hyperlink" Target="https://store.playstation.com/zh-hant-hk/product/HP5028-PPSA02215_00-LN2DLXEDI0000000" TargetMode="External" /><ns0:Relationship Id="rIdWeb9" Type="http://schemas.openxmlformats.org/officeDocument/2006/relationships/hyperlink" Target="https://store.playstation.com/zh-hant-hk/product/EP4040-CUSA50542_00-CRIMEWAVENOUVEAU" TargetMode="External" /><ns0:Relationship Id="rIdWeb10" Type="http://schemas.openxmlformats.org/officeDocument/2006/relationships/hyperlink" Target="https://store.playstation.com/zh-hant-hk/product/UP1018-PPSA02182_00-SSKTJLDELUXE0000" TargetMode="External" /><ns0:Relationship Id="rIdWeb11" Type="http://schemas.openxmlformats.org/officeDocument/2006/relationships/hyperlink" Target="https://store.playstation.com/zh-hant-hk/product/HP0102-CUSA09845_00-RE5HDPS40000ASIA" TargetMode="External" /><ns0:Relationship Id="rIdWeb12" Type="http://schemas.openxmlformats.org/officeDocument/2006/relationships/hyperlink" Target="https://store.playstation.com/zh-hant-hk/product/EP4321-PPSA03641_00-0799477230769562" TargetMode="External" /><ns0:Relationship Id="rIdWeb13" Type="http://schemas.openxmlformats.org/officeDocument/2006/relationships/hyperlink" Target="https://store.playstation.com/zh-hant-hk/product/JP0102-CUSA01599_00-ASIARDOBXXXX0000" TargetMode="External" /><ns0:Relationship Id="rIdWeb14" Type="http://schemas.openxmlformats.org/officeDocument/2006/relationships/hyperlink" Target="https://store.playstation.com/zh-hant-hk/product/EP6311-PPSA17668_00-MINERVA000000000" TargetMode="External" /><ns0:Relationship Id="rIdWeb15" Type="http://schemas.openxmlformats.org/officeDocument/2006/relationships/hyperlink" Target="https://store.playstation.com/zh-hant-hk/product/HP1018-CUSA05250_00-GAMEBUNDLE000000" TargetMode="External" /><ns0:Relationship Id="rIdWeb16" Type="http://schemas.openxmlformats.org/officeDocument/2006/relationships/hyperlink" Target="https://store.playstation.com/zh-hant-hk/product/UP2047-CUSA00623_00-ASIA0000FULLGAME" TargetMode="External" /><ns0:Relationship Id="rIdWeb17" Type="http://schemas.openxmlformats.org/officeDocument/2006/relationships/hyperlink" Target="https://store.playstation.com/zh-hant-hk/product/HP0102-PPSA08038_00-FULLGAME00000001" TargetMode="External" /><ns0:Relationship Id="rIdWeb18" Type="http://schemas.openxmlformats.org/officeDocument/2006/relationships/hyperlink" Target="https://store.playstation.com/zh-hant-hk/product/HP1018-CUSA08645_00-LEGOMARVELSH2001" TargetMode="External" /><ns0:Relationship Id="rIdWeb19" Type="http://schemas.openxmlformats.org/officeDocument/2006/relationships/hyperlink" Target="https://store.playstation.com/zh-hant-hk/product/UP2047-CUSA00624_00-ASIA0000FULLGAME" TargetMode="External" /><ns0:Relationship Id="rIdWeb20" Type="http://schemas.openxmlformats.org/officeDocument/2006/relationships/hyperlink" Target="https://store.playstation.com/zh-hant-hk/product/HP0700-CUSA03027_00-JOJOEOH000000000" TargetMode="External" /><ns0:Relationship Id="rIdWeb21" Type="http://schemas.openxmlformats.org/officeDocument/2006/relationships/hyperlink" Target="https://store.playstation.com/zh-hant-hk/product/UP0006-PPSA08236_00-ARTEMISGAME00000" TargetMode="External" /><ns0:Relationship Id="rIdWeb22" Type="http://schemas.openxmlformats.org/officeDocument/2006/relationships/hyperlink" Target="https://store.playstation.com/zh-hant-hk/product/UP0102-CUSA09407_00-ASIAPLACEHOLDER0" TargetMode="External" /><ns0:Relationship Id="rIdWeb23" Type="http://schemas.openxmlformats.org/officeDocument/2006/relationships/hyperlink" Target="https://store.playstation.com/zh-hant-hk/product/HP0177-CUSA33852_00-DAYLIGHT00000000" TargetMode="External" /><ns0:Relationship Id="rIdWeb24" Type="http://schemas.openxmlformats.org/officeDocument/2006/relationships/hyperlink" Target="https://store.playstation.com/zh-hant-hk/product/EP4062-CUSA14350_00-SRTTRDRDXGAME001" TargetMode="External" /><ns0:Relationship Id="rIdWeb25" Type="http://schemas.openxmlformats.org/officeDocument/2006/relationships/hyperlink" Target="https://store.playstation.com/zh-hant-hk/product/JP0177-PPSA31333_00-MAINGAME000000AS" TargetMode="External" /><ns0:Relationship Id="rIdWeb26" Type="http://schemas.openxmlformats.org/officeDocument/2006/relationships/hyperlink" Target="https://store.playstation.com/zh-hant-hk/product/EP4064-PPSA01526_00-7366148917983053" TargetMode="External" /><ns0:Relationship Id="rIdWeb27" Type="http://schemas.openxmlformats.org/officeDocument/2006/relationships/hyperlink" Target="https://store.playstation.com/zh-hant-hk/product/HP1018-CUSA09881_00-SHOWTIME00000000" TargetMode="External" /><ns0:Relationship Id="rIdWeb28" Type="http://schemas.openxmlformats.org/officeDocument/2006/relationships/hyperlink" Target="https://store.playstation.com/zh-hant-hk/product/EP6960-PPSA03777_00-1170445898702423" TargetMode="External" /><ns0:Relationship Id="rIdWeb29" Type="http://schemas.openxmlformats.org/officeDocument/2006/relationships/hyperlink" Target="https://store.playstation.com/zh-hant-hk/product/EP4133-PPSA03544_00-ALIENSFIRETEAMEU" TargetMode="External" /><ns0:Relationship Id="rIdWeb30" Type="http://schemas.openxmlformats.org/officeDocument/2006/relationships/hyperlink" Target="https://store.playstation.com/zh-hant-hk/product/EP4321-PPSA03131_00-0702954250287934" TargetMode="External" /><ns0:Relationship Id="rIdWeb31" Type="http://schemas.openxmlformats.org/officeDocument/2006/relationships/hyperlink" Target="https://store.playstation.com/zh-hant-hk/product/EP4321-PPSA03131_00-6029635495956336" TargetMode="External" /><ns0:Relationship Id="rIdWeb32" Type="http://schemas.openxmlformats.org/officeDocument/2006/relationships/hyperlink" Target="https://store.playstation.com/zh-hant-hk/product/UP0177-PPSA19461_00-SHINOBIAOVDX0001" TargetMode="External" /><ns0:Relationship Id="rIdWeb33" Type="http://schemas.openxmlformats.org/officeDocument/2006/relationships/hyperlink" Target="https://store.playstation.com/zh-hant-hk/product/EP8198-PPSA02575_00-6092745508330153" TargetMode="External" /><ns0:Relationship Id="rIdWeb34" Type="http://schemas.openxmlformats.org/officeDocument/2006/relationships/hyperlink" Target="https://store.playstation.com/zh-hant-hk/product/HP1003-PPSA02532_00-DEATHLOOP0000000" TargetMode="External" /><ns0:Relationship Id="rIdWeb35" Type="http://schemas.openxmlformats.org/officeDocument/2006/relationships/hyperlink" Target="https://store.playstation.com/zh-hant-hk/product/UP8489-PPSA22453_00-0217126708396262" TargetMode="External" /><ns0:Relationship Id="rIdWeb36" Type="http://schemas.openxmlformats.org/officeDocument/2006/relationships/hyperlink" Target="https://store.playstation.com/zh-hant-hk/product/UP1003-PPSA21444_00-OSIRIS2000000000" TargetMode="External" /><ns0:Relationship Id="rIdWeb37" Type="http://schemas.openxmlformats.org/officeDocument/2006/relationships/hyperlink" Target="https://store.playstation.com/zh-hant-hk/product/UP8703-CUSA49138_00-0111794671079526" TargetMode="External" /><ns0:Relationship Id="rIdWeb38" Type="http://schemas.openxmlformats.org/officeDocument/2006/relationships/hyperlink" Target="https://store.playstation.com/zh-hant-hk/product/EP3392-PPSA17011_00-0397332954655301" TargetMode="External" /><ns0:Relationship Id="rIdWeb39" Type="http://schemas.openxmlformats.org/officeDocument/2006/relationships/hyperlink" Target="https://store.playstation.com/zh-hant-hk/product/EP4356-CUSA05921_00-ASIA000000000000" TargetMode="External" /><ns0:Relationship Id="rIdWeb40" Type="http://schemas.openxmlformats.org/officeDocument/2006/relationships/hyperlink" Target="https://store.playstation.com/zh-hant-hk/product/EP6646-PPSA15678_00-0086972552545460" TargetMode="External" /><ns0:Relationship Id="rIdWeb41" Type="http://schemas.openxmlformats.org/officeDocument/2006/relationships/hyperlink" Target="https://store.playstation.com/zh-hant-hk/product/EP5205-PPSA01772_00-0093683353502823" TargetMode="External" /><ns0:Relationship Id="rIdWeb42" Type="http://schemas.openxmlformats.org/officeDocument/2006/relationships/hyperlink" Target="https://store.playstation.com/zh-hant-hk/product/EP4064-PPSA15349_00-TREPANG200000000" TargetMode="External" /><ns0:Relationship Id="rIdWeb43" Type="http://schemas.openxmlformats.org/officeDocument/2006/relationships/hyperlink" Target="https://store.playstation.com/zh-hant-hk/product/UB0134-PPSA30703_00-0033478242037726" TargetMode="External" /><ns0:Relationship Id="rIdWeb44" Type="http://schemas.openxmlformats.org/officeDocument/2006/relationships/hyperlink" Target="https://store.playstation.com/zh-hant-hk/product/UB1012-CUSA51160_00-0186450617537875" TargetMode="External" /><ns0:Relationship Id="rIdWeb45" Type="http://schemas.openxmlformats.org/officeDocument/2006/relationships/hyperlink" Target="https://store.playstation.com/zh-hant-hk/product/UP2320-CUSA13597_00-KINGDOMTWOCROWNS" TargetMode="External" /><ns0:Relationship Id="rIdWeb46" Type="http://schemas.openxmlformats.org/officeDocument/2006/relationships/hyperlink" Target="https://store.playstation.com/zh-hant-hk/product/HB0767-PPSA22999_00-0661741115244729" TargetMode="External" /><ns0:Relationship Id="rIdWeb47" Type="http://schemas.openxmlformats.org/officeDocument/2006/relationships/hyperlink" Target="https://store.playstation.com/zh-hant-hk/product/EP2711-PPSA04892_00-TCHIADX0000PS5EU" TargetMode="External" /><ns0:Relationship Id="rIdWeb48" Type="http://schemas.openxmlformats.org/officeDocument/2006/relationships/hyperlink" Target="https://store.playstation.com/zh-hant-hk/product/UB1264-CUSA51951_00-0750535626778439" TargetMode="External" /><ns0:Relationship Id="rIdWeb49" Type="http://schemas.openxmlformats.org/officeDocument/2006/relationships/hyperlink" Target="https://store.playstation.com/zh-hant-hk/product/EP6777-PPSA14348_00-ULTROS00000PS5EU" TargetMode="External" /><ns0:Relationship Id="rIdWeb50" Type="http://schemas.openxmlformats.org/officeDocument/2006/relationships/hyperlink" Target="https://store.playstation.com/zh-hant-hk/product/HP0177-CUSA33853_00-MIDNIGHT00000000" TargetMode="External" /><ns0:Relationship Id="rIdWeb51" Type="http://schemas.openxmlformats.org/officeDocument/2006/relationships/hyperlink" Target="https://store.playstation.com/zh-hant-hk/product/UP4395-PPSA23088_00-FORTHEKING200000" TargetMode="External" /><ns0:Relationship Id="rIdWeb52" Type="http://schemas.openxmlformats.org/officeDocument/2006/relationships/hyperlink" Target="https://store.playstation.com/zh-hant-hk/product/UP8489-PPSA24270_00-0499283180274839" TargetMode="External" /><ns0:Relationship Id="rIdWeb53" Type="http://schemas.openxmlformats.org/officeDocument/2006/relationships/hyperlink" Target="https://store.playstation.com/zh-hant-hk/product/EP7868-CUSA47781_00-0406945274610023" TargetMode="External" /><ns0:Relationship Id="rIdWeb54" Type="http://schemas.openxmlformats.org/officeDocument/2006/relationships/hyperlink" Target="https://store.playstation.com/zh-hant-hk/product/EP7868-PPSA19345_00-0810711912409715" TargetMode="External" /><ns0:Relationship Id="rIdWeb55" Type="http://schemas.openxmlformats.org/officeDocument/2006/relationships/hyperlink" Target="https://store.playstation.com/zh-hant-hk/product/UP7935-PPSA24919_00-0123151417381082" TargetMode="External" /><ns0:Relationship Id="rIdWeb56" Type="http://schemas.openxmlformats.org/officeDocument/2006/relationships/hyperlink" Target="https://store.playstation.com/zh-hant-hk/product/UP0604-CUSA49893_00-0051989719815455" TargetMode="External" /><ns0:Relationship Id="rIdWeb57" Type="http://schemas.openxmlformats.org/officeDocument/2006/relationships/hyperlink" Target="https://store.playstation.com/zh-hant-hk/product/UP8489-PPSA24268_00-0200966777747783" TargetMode="External" /><ns0:Relationship Id="rIdWeb58" Type="http://schemas.openxmlformats.org/officeDocument/2006/relationships/hyperlink" Target="https://store.playstation.com/zh-hant-hk/product/UP1943-CUSA17293_00-PACI0USEN0V10000" TargetMode="External" /><ns0:Relationship Id="rIdWeb59" Type="http://schemas.openxmlformats.org/officeDocument/2006/relationships/hyperlink" Target="https://store.playstation.com/zh-hant-hk/product/EP4062-PPSA05383_00-KONA1MAINGAMEPS5" TargetMode="External" /><ns0:Relationship Id="rIdWeb60" Type="http://schemas.openxmlformats.org/officeDocument/2006/relationships/hyperlink" Target="https://store.playstation.com/zh-hant-hk/product/EP1662-PPSA03556_00-4669344406302760" TargetMode="External" /><ns0:Relationship Id="rIdWeb61" Type="http://schemas.openxmlformats.org/officeDocument/2006/relationships/hyperlink" Target="https://store.playstation.com/zh-hant-hk/product/HP0036-PPSA21167_00-0000000000000000" TargetMode="External" /><ns0:Relationship Id="rIdWeb62" Type="http://schemas.openxmlformats.org/officeDocument/2006/relationships/hyperlink" Target="https://store.playstation.com/zh-hant-hk/product/EP4064-PPSA08206_00-1007908867100773" TargetMode="External" /><ns0:Relationship Id="rIdWeb63" Type="http://schemas.openxmlformats.org/officeDocument/2006/relationships/hyperlink" Target="https://store.playstation.com/zh-hant-hk/product/UP7163-PPSA22684_00-0638043530157279" TargetMode="External" /><ns0:Relationship Id="rIdWeb64" Type="http://schemas.openxmlformats.org/officeDocument/2006/relationships/hyperlink" Target="https://store.playstation.com/zh-hant-hk/product/EP3185-PPSA26394_00-0379431818643473" TargetMode="External" /><ns0:Relationship Id="rIdWeb65" Type="http://schemas.openxmlformats.org/officeDocument/2006/relationships/hyperlink" Target="https://store.playstation.com/zh-hant-hk/product/UP5155-PPSA35322_00-MOTORSLICE000000" TargetMode="External" /><ns0:Relationship Id="rIdWeb66" Type="http://schemas.openxmlformats.org/officeDocument/2006/relationships/hyperlink" Target="https://store.playstation.com/zh-hant-hk/product/EP4139-PPSA04110_00-SHADOWDRAGONEU01" TargetMode="External" /><ns0:Relationship Id="rIdWeb67" Type="http://schemas.openxmlformats.org/officeDocument/2006/relationships/hyperlink" Target="https://store.playstation.com/zh-hant-hk/product/UP7302-PPSA07172_00-WILDGATERENEGADE" TargetMode="External" /><ns0:Relationship Id="rIdWeb68" Type="http://schemas.openxmlformats.org/officeDocument/2006/relationships/hyperlink" Target="https://store.playstation.com/zh-hant-hk/product/EP5519-PPSA27616_00-0983640666583317" TargetMode="External" /><ns0:Relationship Id="rIdWeb69" Type="http://schemas.openxmlformats.org/officeDocument/2006/relationships/hyperlink" Target="https://store.playstation.com/zh-hant-hk/product/EP4356-PPSA05760_00-MOTOGP22FULLGAME" TargetMode="External" /><ns0:Relationship Id="rIdWeb70" Type="http://schemas.openxmlformats.org/officeDocument/2006/relationships/hyperlink" Target="https://store.playstation.com/zh-hant-hk/product/EP5360-PPSA07017_00-SOURCEOFMADNEEU5" TargetMode="External" /><ns0:Relationship Id="rIdWeb71" Type="http://schemas.openxmlformats.org/officeDocument/2006/relationships/hyperlink" Target="https://store.playstation.com/zh-hant-hk/product/EP0096-CUSA24061_00-0792195174652390" TargetMode="External" /><ns0:Relationship Id="rIdWeb72" Type="http://schemas.openxmlformats.org/officeDocument/2006/relationships/hyperlink" Target="https://store.playstation.com/zh-hant-hk/product/EP4064-CUSA18931_00-NEONABYSS0000000" TargetMode="External" /><ns0:Relationship Id="rIdWeb73" Type="http://schemas.openxmlformats.org/officeDocument/2006/relationships/hyperlink" Target="https://store.playstation.com/zh-hant-hk/product/HB1334-CUSA56653_00-0281876458218489" TargetMode="External" /><ns0:Relationship Id="rIdWeb74" Type="http://schemas.openxmlformats.org/officeDocument/2006/relationships/hyperlink" Target="https://store.playstation.com/zh-hant-hk/product/UP5155-PPSA12424_00-2501700605828478" TargetMode="External" /><ns0:Relationship Id="rIdWeb75" Type="http://schemas.openxmlformats.org/officeDocument/2006/relationships/hyperlink" Target="https://store.playstation.com/zh-hant-hk/product/EP2649-PPSA28662_00-0594453084732332" TargetMode="External" /><ns0:Relationship Id="rIdWeb76" Type="http://schemas.openxmlformats.org/officeDocument/2006/relationships/hyperlink" Target="https://store.playstation.com/zh-hant-hk/product/JP0747-PPSA19053_00-FLCAPP0000000000" TargetMode="External" /><ns0:Relationship Id="rIdWeb77" Type="http://schemas.openxmlformats.org/officeDocument/2006/relationships/hyperlink" Target="https://store.playstation.com/zh-hant-hk/product/EP4697-PPSA03593_00-9119475396174422" TargetMode="External" /><ns0:Relationship Id="rIdWeb78" Type="http://schemas.openxmlformats.org/officeDocument/2006/relationships/hyperlink" Target="https://store.playstation.com/zh-hant-hk/product/EP6713-CUSA26098_00-KB2LORDS000000EU" TargetMode="External" /><ns0:Relationship Id="rIdWeb79" Type="http://schemas.openxmlformats.org/officeDocument/2006/relationships/hyperlink" Target="https://store.playstation.com/zh-hant-hk/product/HP8406-CUSA55148_00-NIUPS4KOKLGLOB01" TargetMode="External" /><ns0:Relationship Id="rIdWeb80" Type="http://schemas.openxmlformats.org/officeDocument/2006/relationships/hyperlink" Target="https://store.playstation.com/zh-hant-hk/product/EP5971-CUSA25903_00-5837820299080019" TargetMode="External" /><ns0:Relationship Id="rIdWeb81" Type="http://schemas.openxmlformats.org/officeDocument/2006/relationships/hyperlink" Target="https://store.playstation.com/zh-hant-hk/product/EP0131-CUSA04559_00-ARMIKROGVSEVIL16" TargetMode="External" /><ns0:Relationship Id="rIdWeb82" Type="http://schemas.openxmlformats.org/officeDocument/2006/relationships/hyperlink" Target="https://store.playstation.com/zh-hant-hk/product/EP3392-PPSA13547_00-0285899491916921" TargetMode="External" /><ns0:Relationship Id="rIdWeb83" Type="http://schemas.openxmlformats.org/officeDocument/2006/relationships/hyperlink" Target="https://store.playstation.com/zh-hant-hk/product/UP3643-PPSA29043_00-0020875823099383" TargetMode="External" /><ns0:Relationship Id="rIdWeb84" Type="http://schemas.openxmlformats.org/officeDocument/2006/relationships/hyperlink" Target="https://store.playstation.com/zh-hant-hk/product/EP5360-PPSA24579_00-0692034935549159" TargetMode="External" /><ns0:Relationship Id="rIdWeb85" Type="http://schemas.openxmlformats.org/officeDocument/2006/relationships/hyperlink" Target="https://store.playstation.com/zh-hant-hk/product/UP1003-PPSA26525_00-MEDUSA0000000000" TargetMode="External" /><ns0:Relationship Id="rIdWeb86" Type="http://schemas.openxmlformats.org/officeDocument/2006/relationships/hyperlink" Target="https://store.playstation.com/zh-hant-hk/product/EP4062-CUSA17774_00-WINDBOUNDGAME000" TargetMode="External" /><ns0:Relationship Id="rIdWeb87" Type="http://schemas.openxmlformats.org/officeDocument/2006/relationships/hyperlink" Target="https://store.playstation.com/zh-hant-hk/product/EP3392-PPSA16749_00-0082275020477741" TargetMode="External" /><ns0:Relationship Id="rIdWeb88" Type="http://schemas.openxmlformats.org/officeDocument/2006/relationships/hyperlink" Target="https://store.playstation.com/zh-hant-hk/product/EP3392-PPSA16749_00-0787474524411741" TargetMode="External" /><ns0:Relationship Id="rIdWeb89" Type="http://schemas.openxmlformats.org/officeDocument/2006/relationships/hyperlink" Target="https://store.playstation.com/zh-hant-hk/product/JP0576-CUSA44431_00-SVCCHAOSPS4JP000" TargetMode="External" /><ns0:Relationship Id="rIdWeb90" Type="http://schemas.openxmlformats.org/officeDocument/2006/relationships/hyperlink" Target="https://store.playstation.com/zh-hant-hk/product/EP4062-PPSA02393_00-EUDSIRONHARVEST0" TargetMode="External" /><ns0:Relationship Id="rIdWeb91" Type="http://schemas.openxmlformats.org/officeDocument/2006/relationships/hyperlink" Target="https://store.playstation.com/zh-hant-hk/product/EP4133-CUSA23552_00-FE000SPOMAMDCODG" TargetMode="External" /><ns0:Relationship Id="rIdWeb92" Type="http://schemas.openxmlformats.org/officeDocument/2006/relationships/hyperlink" Target="https://store.playstation.com/zh-hant-hk/product/EP4133-CUSA12530_00-NECROMUNDAUHWARS" TargetMode="External" /><ns0:Relationship Id="rIdWeb93" Type="http://schemas.openxmlformats.org/officeDocument/2006/relationships/hyperlink" Target="https://store.playstation.com/zh-hant-hk/product/EP0822-PPSA17775_00-LAIKA0000PS5SIEE" TargetMode="External" /><ns0:Relationship Id="rIdWeb94" Type="http://schemas.openxmlformats.org/officeDocument/2006/relationships/hyperlink" Target="https://store.playstation.com/zh-hant-hk/product/JP8394-PPSA35117_00-0989343144090817" TargetMode="External" /><ns0:Relationship Id="rIdWeb95" Type="http://schemas.openxmlformats.org/officeDocument/2006/relationships/hyperlink" Target="https://store.playstation.com/zh-hant-hk/product/EP0131-PPSA15641_00-STRAYSOULS000000" TargetMode="External" /><ns0:Relationship Id="rIdWeb96" Type="http://schemas.openxmlformats.org/officeDocument/2006/relationships/hyperlink" Target="https://store.playstation.com/zh-hant-hk/product/EP7550-CUSA35665_00-7568329890190650" TargetMode="External" /><ns0:Relationship Id="rIdWeb97" Type="http://schemas.openxmlformats.org/officeDocument/2006/relationships/hyperlink" Target="https://store.playstation.com/zh-hant-hk/product/EP2866-PPSA04071_00-BASSMASTERDELUXE" TargetMode="External" /><ns0:Relationship Id="rIdWeb98" Type="http://schemas.openxmlformats.org/officeDocument/2006/relationships/hyperlink" Target="https://store.playstation.com/zh-hant-hk/product/EP5049-PPSA27103_00-0717490137052430" TargetMode="External" /><ns0:Relationship Id="rIdWeb99" Type="http://schemas.openxmlformats.org/officeDocument/2006/relationships/hyperlink" Target="https://store.playstation.com/zh-hant-hk/product/EP5049-PPSA30552_00-0832128428447079" TargetMode="External" /><ns0:Relationship Id="rIdWeb100" Type="http://schemas.openxmlformats.org/officeDocument/2006/relationships/hyperlink" Target="https://store.playstation.com/zh-hant-hk/product/HP8406-PPSA31909_00-0724920813428567" TargetMode="External" /><ns0:Relationship Id="rIdWeb101" Type="http://schemas.openxmlformats.org/officeDocument/2006/relationships/hyperlink" Target="https://store.playstation.com/zh-hant-hk/product/EP5470-CUSA32176_00-2658206296782888" TargetMode="External" /><ns0:Relationship Id="rIdWeb102" Type="http://schemas.openxmlformats.org/officeDocument/2006/relationships/hyperlink" Target="https://store.playstation.com/zh-hant-hk/product/EP7550-CUSA35425_00-4131029492849272" TargetMode="External" /><ns0:Relationship Id="rIdWeb103" Type="http://schemas.openxmlformats.org/officeDocument/2006/relationships/hyperlink" Target="https://store.playstation.com/zh-hant-hk/product/EP4064-PPSA23605_00-0916712229105753" TargetMode="External" /><ns0:Relationship Id="rIdWeb104" Type="http://schemas.openxmlformats.org/officeDocument/2006/relationships/hyperlink" Target="https://store.playstation.com/zh-hant-hk/product/HP8406-PPSA26324_00-0440037362021369" TargetMode="External" /><ns0:Relationship Id="rIdWeb105" Type="http://schemas.openxmlformats.org/officeDocument/2006/relationships/hyperlink" Target="https://store.playstation.com/zh-hant-hk/product/EP5205-CUSA42450_00-THETESTAMENTOFSH" TargetMode="External" /><ns0:Relationship Id="rIdWeb106" Type="http://schemas.openxmlformats.org/officeDocument/2006/relationships/hyperlink" Target="https://store.playstation.com/zh-hant-hk/product/EP5470-PPSA03662_00-3523202262925399" TargetMode="External" /><ns0:Relationship Id="rIdWeb107" Type="http://schemas.openxmlformats.org/officeDocument/2006/relationships/hyperlink" Target="https://store.playstation.com/zh-hant-hk/product/EP5519-PPSA27624_00-0594607393712142" TargetMode="External" /><ns0:Relationship Id="rIdWeb108" Type="http://schemas.openxmlformats.org/officeDocument/2006/relationships/hyperlink" Target="https://store.playstation.com/zh-hant-hk/product/UB1486-CUSA54438_00-0821021402730373" TargetMode="External" /><ns0:Relationship Id="rIdWeb109" Type="http://schemas.openxmlformats.org/officeDocument/2006/relationships/hyperlink" Target="https://store.playstation.com/zh-hant-hk/product/UB2030-PPSA37997_00-0637918884194509" TargetMode="External" /><ns0:Relationship Id="rIdWeb110" Type="http://schemas.openxmlformats.org/officeDocument/2006/relationships/hyperlink" Target="https://store.playstation.com/zh-hant-hk/product/EP6713-PPSA03418_00-DOLMENGAMEPS5EU0" TargetMode="External" /><ns0:Relationship Id="rIdWeb111" Type="http://schemas.openxmlformats.org/officeDocument/2006/relationships/hyperlink" Target="https://store.playstation.com/zh-hant-hk/product/EP7579-PPSA23767_00-BBAY000000000PS5" TargetMode="External" /><ns0:Relationship Id="rIdWeb112" Type="http://schemas.openxmlformats.org/officeDocument/2006/relationships/hyperlink" Target="https://store.playstation.com/zh-hant-hk/product/EP5519-PPSA28609_00-0142984347593026" TargetMode="External" /><ns0:Relationship Id="rIdWeb113" Type="http://schemas.openxmlformats.org/officeDocument/2006/relationships/hyperlink" Target="https://store.playstation.com/zh-hant-hk/product/EP7550-CUSA45118_00-0879709636731611" TargetMode="External" /><ns0:Relationship Id="rIdWeb114" Type="http://schemas.openxmlformats.org/officeDocument/2006/relationships/hyperlink" Target="https://store.playstation.com/zh-hant-hk/product/UP8767-PPSA31335_00-0882412497143160" TargetMode="External" /><ns0:Relationship Id="rIdWeb115" Type="http://schemas.openxmlformats.org/officeDocument/2006/relationships/hyperlink" Target="https://store.playstation.com/zh-hant-hk/product/UB0714-CUSA49557_00-0564484695029743" TargetMode="External" /><ns0:Relationship Id="rIdWeb116" Type="http://schemas.openxmlformats.org/officeDocument/2006/relationships/hyperlink" Target="https://store.playstation.com/zh-hant-hk/product/HP0036-PPSA06004_00-YURUKILLGAMESPS5" TargetMode="External" /><ns0:Relationship Id="rIdWeb117" Type="http://schemas.openxmlformats.org/officeDocument/2006/relationships/hyperlink" Target="https://store.playstation.com/zh-hant-hk/product/EP6713-PPSA05385_00-KONA2KOCHPS5EU00" TargetMode="External" /><ns0:Relationship Id="rIdWeb118" Type="http://schemas.openxmlformats.org/officeDocument/2006/relationships/hyperlink" Target="https://store.playstation.com/zh-hant-hk/product/EP7550-CUSA31973_00-7369504557742386" TargetMode="External" /><ns0:Relationship Id="rIdWeb119" Type="http://schemas.openxmlformats.org/officeDocument/2006/relationships/hyperlink" Target="https://store.playstation.com/zh-hant-hk/product/EP6713-PPSA04866_00-LASTORICRU0000EU" TargetMode="External" /><ns0:Relationship Id="rIdWeb120" Type="http://schemas.openxmlformats.org/officeDocument/2006/relationships/hyperlink" Target="https://store.playstation.com/zh-hant-hk/product/EP3392-PPSA11149_00-7287896986020630" TargetMode="External" /><ns0:Relationship Id="rIdWeb121" Type="http://schemas.openxmlformats.org/officeDocument/2006/relationships/hyperlink" Target="https://store.playstation.com/zh-hant-hk/product/EP4459-CUSA13746_00-FMVMURDERMBUNDLE" TargetMode="External" /><ns0:Relationship Id="rIdWeb122" Type="http://schemas.openxmlformats.org/officeDocument/2006/relationships/hyperlink" Target="https://store.playstation.com/zh-hant-hk/product/JP5134-PPSA17065_00-LISABUNDLE2JAPAN" TargetMode="External" /><ns0:Relationship Id="rIdWeb123" Type="http://schemas.openxmlformats.org/officeDocument/2006/relationships/hyperlink" Target="https://store.playstation.com/zh-hant-hk/product/EP4697-PPSA31080_00-0968286172929917" TargetMode="External" /><ns0:Relationship Id="rIdWeb124" Type="http://schemas.openxmlformats.org/officeDocument/2006/relationships/hyperlink" Target="https://store.playstation.com/zh-hant-hk/product/EP4459-PPSA15899_00-FIVEDATESPS5SIEE" TargetMode="External" /><ns0:Relationship Id="rIdWeb125" Type="http://schemas.openxmlformats.org/officeDocument/2006/relationships/hyperlink" Target="https://store.playstation.com/zh-hant-hk/product/HP0700-PPSA02341_00-PS5MRDRILLERASIA" TargetMode="External" /><ns0:Relationship Id="rIdWeb126" Type="http://schemas.openxmlformats.org/officeDocument/2006/relationships/hyperlink" Target="https://store.playstation.com/zh-hant-hk/product/UP8522-PPSA23099_00-000000000000AGTS" TargetMode="External" /><ns0:Relationship Id="rIdWeb127" Type="http://schemas.openxmlformats.org/officeDocument/2006/relationships/hyperlink" Target="https://store.playstation.com/zh-hant-hk/product/JP0101-PPSA30553_00-SUPERBOMBERMANCO" TargetMode="External" /><ns0:Relationship Id="rIdWeb128" Type="http://schemas.openxmlformats.org/officeDocument/2006/relationships/hyperlink" Target="https://store.playstation.com/zh-hant-hk/product/EP4064-PPSA13722_00-CLASSIFIEDDX0000" TargetMode="External" /><ns0:Relationship Id="rIdWeb129" Type="http://schemas.openxmlformats.org/officeDocument/2006/relationships/hyperlink" Target="https://store.playstation.com/zh-hant-hk/product/EP4459-CUSA10765_00-DOCTORDEKKERGAME" TargetMode="External" /><ns0:Relationship Id="rIdWeb130" Type="http://schemas.openxmlformats.org/officeDocument/2006/relationships/hyperlink" Target="https://store.playstation.com/zh-hant-hk/product/EP4062-CUSA19024_00-GODSWILLFALL00EU" TargetMode="External" /><ns0:Relationship Id="rIdWeb131" Type="http://schemas.openxmlformats.org/officeDocument/2006/relationships/hyperlink" Target="https://store.playstation.com/zh-hant-hk/product/EP0811-CUSA24055_00-CLIDTHESNAIL2021" TargetMode="External" /><ns0:Relationship Id="rIdWeb132" Type="http://schemas.openxmlformats.org/officeDocument/2006/relationships/hyperlink" Target="https://store.playstation.com/zh-hant-hk/product/EP5758-PPSA07441_00-WHATTHEGOLF00001" TargetMode="External" /><ns0:Relationship Id="rIdWeb133" Type="http://schemas.openxmlformats.org/officeDocument/2006/relationships/hyperlink" Target="https://store.playstation.com/zh-hant-hk/product/JP0281-CUSA53325_00-0519196094680160" TargetMode="External" /><ns0:Relationship Id="rIdWeb134" Type="http://schemas.openxmlformats.org/officeDocument/2006/relationships/hyperlink" Target="https://store.playstation.com/zh-hant-hk/product/UP4361-PPSA30896_00-0258167813341496" TargetMode="External" /><ns0:Relationship Id="rIdWeb135" Type="http://schemas.openxmlformats.org/officeDocument/2006/relationships/hyperlink" Target="https://store.playstation.com/zh-hant-hk/product/EP6985-CUSA49294_00-0631254172782733" TargetMode="External" /><ns0:Relationship Id="rIdWeb136" Type="http://schemas.openxmlformats.org/officeDocument/2006/relationships/hyperlink" Target="https://store.playstation.com/zh-hant-hk/product/UP8767-PPSA30033_00-0664646499030614" TargetMode="External" /><ns0:Relationship Id="rIdWeb137" Type="http://schemas.openxmlformats.org/officeDocument/2006/relationships/hyperlink" Target="https://store.playstation.com/zh-hant-hk/product/EP4034-CUSA26074_00-NATSUKICHRON00EU" TargetMode="External" /><ns0:Relationship Id="rIdWeb138" Type="http://schemas.openxmlformats.org/officeDocument/2006/relationships/hyperlink" Target="https://store.playstation.com/zh-hant-hk/product/EP4034-CUSA26074_00-SEVENTIABUNDLE02" TargetMode="External" /><ns0:Relationship Id="rIdWeb139" Type="http://schemas.openxmlformats.org/officeDocument/2006/relationships/hyperlink" Target="https://store.playstation.com/zh-hant-hk/product/UP4713-PPSA28709_00-0776105799526115" TargetMode="External" /><ns0:Relationship Id="rIdWeb140" Type="http://schemas.openxmlformats.org/officeDocument/2006/relationships/hyperlink" Target="https://store.playstation.com/zh-hant-hk/product/UP0097-PPSA15735_00-0309144514901397" TargetMode="External" /><ns0:Relationship Id="rIdWeb141" Type="http://schemas.openxmlformats.org/officeDocument/2006/relationships/hyperlink" Target="https://store.playstation.com/zh-hant-hk/product/EP6960-PPSA23317_00-0086063057913198" TargetMode="External" /><ns0:Relationship Id="rIdWeb142" Type="http://schemas.openxmlformats.org/officeDocument/2006/relationships/hyperlink" Target="https://store.playstation.com/zh-hant-hk/product/UP7552-PPSA26544_00-0165945739689205" TargetMode="External" /><ns0:Relationship Id="rIdWeb143" Type="http://schemas.openxmlformats.org/officeDocument/2006/relationships/hyperlink" Target="https://store.playstation.com/zh-hant-hk/product/EP0131-CUSA07585_00-0000000000000000" TargetMode="External" /><ns0:Relationship Id="rIdWeb144" Type="http://schemas.openxmlformats.org/officeDocument/2006/relationships/hyperlink" Target="https://store.playstation.com/zh-hant-hk/product/EP6713-PPSA05097_00-MATOANOMALIES5EU" TargetMode="External" /><ns0:Relationship Id="rIdWeb145" Type="http://schemas.openxmlformats.org/officeDocument/2006/relationships/hyperlink" Target="https://store.playstation.com/zh-hant-hk/product/EP4459-CUSA10391_00-TIMECARNAGEPS4VR" TargetMode="External" /><ns0:Relationship Id="rIdWeb146" Type="http://schemas.openxmlformats.org/officeDocument/2006/relationships/hyperlink" Target="https://store.playstation.com/zh-hant-hk/product/HB1326-PPSA34058_00-0895134971020363" TargetMode="External" /><ns0:Relationship Id="rIdWeb147" Type="http://schemas.openxmlformats.org/officeDocument/2006/relationships/hyperlink" Target="https://store.playstation.com/zh-hant-hk/product/JB1432-PPSA32493_00-0109126156520489" TargetMode="External" /><ns0:Relationship Id="rIdWeb148" Type="http://schemas.openxmlformats.org/officeDocument/2006/relationships/hyperlink" Target="https://store.playstation.com/zh-hant-hk/product/UP7316-PPSA38021_00-0915633265099780" TargetMode="External" /><ns0:Relationship Id="rIdWeb149" Type="http://schemas.openxmlformats.org/officeDocument/2006/relationships/hyperlink" Target="https://store.playstation.com/zh-hant-hk/product/EP5470-CUSA29933_00-6716400165985341" TargetMode="External" /><ns0:Relationship Id="rIdWeb150" Type="http://schemas.openxmlformats.org/officeDocument/2006/relationships/hyperlink" Target="https://store.playstation.com/zh-hant-hk/product/EP2649-PPSA33620_00-0532307713327691" TargetMode="External" /><ns0:Relationship Id="rIdWeb151" Type="http://schemas.openxmlformats.org/officeDocument/2006/relationships/hyperlink" Target="https://store.playstation.com/zh-hant-hk/product/UP5155-PPSA31581_00-WINDSWEPT0000000" TargetMode="External" /><ns0:Relationship Id="rIdWeb152" Type="http://schemas.openxmlformats.org/officeDocument/2006/relationships/hyperlink" Target="https://store.playstation.com/zh-hant-hk/product/UP7552-PPSA23212_00-0548411255700861" TargetMode="External" /><ns0:Relationship Id="rIdWeb153" Type="http://schemas.openxmlformats.org/officeDocument/2006/relationships/hyperlink" Target="https://store.playstation.com/zh-hant-hk/product/EP0131-PPSA15881_00-LILGUARDSMAN0000" TargetMode="External" /><ns0:Relationship Id="rIdWeb154" Type="http://schemas.openxmlformats.org/officeDocument/2006/relationships/hyperlink" Target="https://store.playstation.com/zh-hant-hk/product/EP3617-CUSA17918_00-ERELICTAMAINRV00" TargetMode="External" /><ns0:Relationship Id="rIdWeb155" Type="http://schemas.openxmlformats.org/officeDocument/2006/relationships/hyperlink" Target="https://store.playstation.com/zh-hant-hk/product/EP3392-PPSA16099_00-0852952590324702" TargetMode="External" /><ns0:Relationship Id="rIdWeb156" Type="http://schemas.openxmlformats.org/officeDocument/2006/relationships/hyperlink" Target="https://store.playstation.com/zh-hant-hk/product/UP7552-CUSA51489_00-0615995280477382" TargetMode="External" /><ns0:Relationship Id="rIdWeb157" Type="http://schemas.openxmlformats.org/officeDocument/2006/relationships/hyperlink" Target="https://store.playstation.com/zh-hant-hk/product/UP6169-PPSA16487_00-0064852872664759" TargetMode="External" /><ns0:Relationship Id="rIdWeb158" Type="http://schemas.openxmlformats.org/officeDocument/2006/relationships/hyperlink" Target="https://store.playstation.com/zh-hant-hk/product/EP6646-PPSA29444_00-RUEVALLEYGAMEPS5" TargetMode="External" /><ns0:Relationship Id="rIdWeb159" Type="http://schemas.openxmlformats.org/officeDocument/2006/relationships/hyperlink" Target="https://store.playstation.com/zh-hant-hk/product/EP5470-CUSA34062_00-3743363992579314" TargetMode="External" /><ns0:Relationship Id="rIdWeb160" Type="http://schemas.openxmlformats.org/officeDocument/2006/relationships/hyperlink" Target="https://store.playstation.com/zh-hant-hk/product/EP6941-CUSA44625_00-0316758119206169" TargetMode="External" /><ns0:Relationship Id="rIdWeb161" Type="http://schemas.openxmlformats.org/officeDocument/2006/relationships/hyperlink" Target="https://store.playstation.com/zh-hant-hk/product/UP5223-PPSA27129_00-0653767326715632" TargetMode="External" /><ns0:Relationship Id="rIdWeb162" Type="http://schemas.openxmlformats.org/officeDocument/2006/relationships/hyperlink" Target="https://store.playstation.com/zh-hant-hk/product/EP2723-PPSA20773_00-WINGSPAN0EU0PS5D" TargetMode="External" /><ns0:Relationship Id="rIdWeb163" Type="http://schemas.openxmlformats.org/officeDocument/2006/relationships/hyperlink" Target="https://store.playstation.com/zh-hant-hk/product/UB1264-CUSA53189_00-0205638562009364" TargetMode="External" /><ns0:Relationship Id="rIdWeb164" Type="http://schemas.openxmlformats.org/officeDocument/2006/relationships/hyperlink" Target="https://store.playstation.com/zh-hant-hk/product/HP2005-PPSA03113_00-TRIGGERWITCH0000" TargetMode="External" /><ns0:Relationship Id="rIdWeb165" Type="http://schemas.openxmlformats.org/officeDocument/2006/relationships/hyperlink" Target="https://store.playstation.com/zh-hant-hk/product/UP0097-PPSA34959_00-THEKINGISWATCHIN" TargetMode="External" /><ns0:Relationship Id="rIdWeb166" Type="http://schemas.openxmlformats.org/officeDocument/2006/relationships/hyperlink" Target="https://store.playstation.com/zh-hant-hk/product/UP8650-PPSA16947_00-0186662604269082" TargetMode="External" /><ns0:Relationship Id="rIdWeb167" Type="http://schemas.openxmlformats.org/officeDocument/2006/relationships/hyperlink" Target="https://store.playstation.com/zh-hant-hk/product/EP5470-CUSA32396_00-5582905702753607" TargetMode="External" /><ns0:Relationship Id="rIdWeb168" Type="http://schemas.openxmlformats.org/officeDocument/2006/relationships/hyperlink" Target="https://store.playstation.com/zh-hant-hk/product/UP7552-PPSA26534_00-0606486229871157" TargetMode="External" /><ns0:Relationship Id="rIdWeb169" Type="http://schemas.openxmlformats.org/officeDocument/2006/relationships/hyperlink" Target="https://store.playstation.com/zh-hant-hk/product/EB1420-PPSA26091_00-0473475868369028" TargetMode="External" /><ns0:Relationship Id="rIdWeb170" Type="http://schemas.openxmlformats.org/officeDocument/2006/relationships/hyperlink" Target="https://store.playstation.com/zh-hant-hk/product/UB0925-PPSA23670_00-SLAMPS5EU0000001" TargetMode="External" /><ns0:Relationship Id="rIdWeb171" Type="http://schemas.openxmlformats.org/officeDocument/2006/relationships/hyperlink" Target="https://store.playstation.com/zh-hant-hk/product/EP6985-CUSA53984_00-0897035842552629" TargetMode="External" /><ns0:Relationship Id="rIdWeb172" Type="http://schemas.openxmlformats.org/officeDocument/2006/relationships/hyperlink" Target="https://store.playstation.com/zh-hant-hk/product/EP0131-CUSA24043_00-HIKEVERSUSEVILPS" TargetMode="External" /><ns0:Relationship Id="rIdWeb173" Type="http://schemas.openxmlformats.org/officeDocument/2006/relationships/hyperlink" Target="https://store.playstation.com/zh-hant-hk/product/EP4064-PPSA05367_00-3752942452250452" TargetMode="External" /><ns0:Relationship Id="rIdWeb174" Type="http://schemas.openxmlformats.org/officeDocument/2006/relationships/hyperlink" Target="https://store.playstation.com/zh-hant-hk/product/UB0383-PPSA34517_00-0212157671828503" TargetMode="External" /><ns0:Relationship Id="rIdWeb175" Type="http://schemas.openxmlformats.org/officeDocument/2006/relationships/hyperlink" Target="https://store.playstation.com/zh-hant-hk/product/UB0797-CUSA50631_00-0401405115483080" TargetMode="External" /><ns0:Relationship Id="rIdWeb176" Type="http://schemas.openxmlformats.org/officeDocument/2006/relationships/hyperlink" Target="https://store.playstation.com/zh-hant-hk/product/EP6673-CUSA30060_00-8991602157208582" TargetMode="External" /><ns0:Relationship Id="rIdWeb177" Type="http://schemas.openxmlformats.org/officeDocument/2006/relationships/hyperlink" Target="https://store.playstation.com/zh-hant-hk/product/EP1629-CUSA09170_00-3DMINIGOLF000000" TargetMode="External" /><ns0:Relationship Id="rIdWeb178" Type="http://schemas.openxmlformats.org/officeDocument/2006/relationships/hyperlink" Target="https://store.playstation.com/zh-hant-hk/product/EP5470-CUSA34220_00-1974871844301027" TargetMode="External" /><ns0:Relationship Id="rIdWeb179" Type="http://schemas.openxmlformats.org/officeDocument/2006/relationships/hyperlink" Target="https://store.playstation.com/zh-hant-hk/product/EP5470-CUSA34220_00-4974253324654527" TargetMode="External" /><ns0:Relationship Id="rIdWeb180" Type="http://schemas.openxmlformats.org/officeDocument/2006/relationships/hyperlink" Target="https://store.playstation.com/zh-hant-hk/product/UB0714-CUSA49761_00-0890725537468195" TargetMode="External" /><ns0:Relationship Id="rIdWeb181" Type="http://schemas.openxmlformats.org/officeDocument/2006/relationships/hyperlink" Target="https://store.playstation.com/zh-hant-hk/product/EP6985-CUSA50172_00-0660276550379646" TargetMode="External" /><ns0:Relationship Id="rIdWeb182" Type="http://schemas.openxmlformats.org/officeDocument/2006/relationships/hyperlink" Target="https://store.playstation.com/zh-hant-hk/product/UP7302-PPSA29021_00-LYNKEDBOTSGAME00" TargetMode="External" /><ns0:Relationship Id="rIdWeb183" Type="http://schemas.openxmlformats.org/officeDocument/2006/relationships/hyperlink" Target="https://store.playstation.com/zh-hant-hk/product/EP6260-PPSA06844_00-5943708735768545" TargetMode="External" /><ns0:Relationship Id="rIdWeb184" Type="http://schemas.openxmlformats.org/officeDocument/2006/relationships/hyperlink" Target="https://store.playstation.com/zh-hant-hk/product/UP2908-PPSA29727_00-GOODNIGHTDREAMND" TargetMode="External" /><ns0:Relationship Id="rIdWeb185" Type="http://schemas.openxmlformats.org/officeDocument/2006/relationships/hyperlink" Target="https://store.playstation.com/zh-hant-hk/product/EP6985-CUSA57774_00-0397268867753908" TargetMode="External" /><ns0:Relationship Id="rIdWeb186" Type="http://schemas.openxmlformats.org/officeDocument/2006/relationships/hyperlink" Target="https://store.playstation.com/zh-hant-hk/product/UP7552-PPSA30486_00-0844894177133992" TargetMode="External" /><ns0:Relationship Id="rIdWeb187" Type="http://schemas.openxmlformats.org/officeDocument/2006/relationships/hyperlink" Target="https://store.playstation.com/zh-hant-hk/product/EP7550-CUSA34343_00-1889699463777212" TargetMode="External" /><ns0:Relationship Id="rIdWeb188" Type="http://schemas.openxmlformats.org/officeDocument/2006/relationships/hyperlink" Target="https://store.playstation.com/zh-hant-hk/product/EP0131-CUSA16523_00-0000000000000000" TargetMode="External" /><ns0:Relationship Id="rIdWeb189" Type="http://schemas.openxmlformats.org/officeDocument/2006/relationships/hyperlink" Target="https://store.playstation.com/zh-hant-hk/product/EP0131-CUSA16525_00-CARDVERSUSEVILPS" TargetMode="External" /><ns0:Relationship Id="rIdWeb190" Type="http://schemas.openxmlformats.org/officeDocument/2006/relationships/hyperlink" Target="https://store.playstation.com/zh-hant-hk/product/EP0131-CUSA16525_00-OUTOFTIMEBUNDLE1" TargetMode="External" /><ns0:Relationship Id="rIdWeb191" Type="http://schemas.openxmlformats.org/officeDocument/2006/relationships/hyperlink" Target="https://store.playstation.com/zh-hant-hk/product/HB1334-CUSA52852_00-0958353969404413" TargetMode="External" /><ns0:Relationship Id="rIdWeb192" Type="http://schemas.openxmlformats.org/officeDocument/2006/relationships/hyperlink" Target="https://store.playstation.com/zh-hant-hk/product/JP0013-PPSA26912_00-JP0DECODECO00PS5" TargetMode="External" /><ns0:Relationship Id="rIdWeb193" Type="http://schemas.openxmlformats.org/officeDocument/2006/relationships/hyperlink" Target="https://store.playstation.com/zh-hant-hk/product/HP8406-PPSA26287_00-PS501THELASTCAMP" TargetMode="External" /><ns0:Relationship Id="rIdWeb194" Type="http://schemas.openxmlformats.org/officeDocument/2006/relationships/hyperlink" Target="https://store.playstation.com/zh-hant-hk/product/EP6941-CUSA29316_00-8658092383239044" TargetMode="External" /><ns0:Relationship Id="rIdWeb195" Type="http://schemas.openxmlformats.org/officeDocument/2006/relationships/hyperlink" Target="https://store.playstation.com/zh-hant-hk/product/JP5361-CUSA17064_00-KAIRO00000025000" TargetMode="External" /><ns0:Relationship Id="rIdWeb196" Type="http://schemas.openxmlformats.org/officeDocument/2006/relationships/hyperlink" Target="https://store.playstation.com/zh-hant-hk/product/EP5813-CUSA26202_00-1234123412341234" TargetMode="External" /><ns0:Relationship Id="rIdWeb197" Type="http://schemas.openxmlformats.org/officeDocument/2006/relationships/hyperlink" Target="https://store.playstation.com/zh-hant-hk/product/EP5470-CUSA30568_00-1954762215070306" TargetMode="External" /><ns0:Relationship Id="rIdWeb198" Type="http://schemas.openxmlformats.org/officeDocument/2006/relationships/hyperlink" Target="https://store.playstation.com/zh-hant-hk/product/UP6972-PPSA34498_00-EATFIGHTLOVE2025" TargetMode="External" /><ns0:Relationship Id="rIdWeb199" Type="http://schemas.openxmlformats.org/officeDocument/2006/relationships/hyperlink" Target="https://store.playstation.com/zh-hant-hk/product/UB0290-PPSA26613_00-0515927660719139" TargetMode="External" /><ns0:Relationship Id="rIdWeb200" Type="http://schemas.openxmlformats.org/officeDocument/2006/relationships/hyperlink" Target="https://store.playstation.com/zh-hant-hk/product/EP6941-PPSA23595_00-0893233998288381" TargetMode="External" /><ns0:Relationship Id="rIdWeb201" Type="http://schemas.openxmlformats.org/officeDocument/2006/relationships/hyperlink" Target="https://store.playstation.com/zh-hant-hk/product/HP7962-PPSA13924_00-0448095842301608" TargetMode="External" /><ns0:Relationship Id="rIdWeb202" Type="http://schemas.openxmlformats.org/officeDocument/2006/relationships/hyperlink" Target="https://store.playstation.com/zh-hant-hk/product/UB0797-CUSA50008_00-0592074135919666" TargetMode="External" /><ns0:Relationship Id="rIdWeb203" Type="http://schemas.openxmlformats.org/officeDocument/2006/relationships/hyperlink" Target="https://store.playstation.com/zh-hant-hk/product/UP0781-PPSA30114_00-ROBOTSATMIDNIGHT" TargetMode="External" /><ns0:Relationship Id="rIdWeb204" Type="http://schemas.openxmlformats.org/officeDocument/2006/relationships/hyperlink" Target="https://store.playstation.com/zh-hant-hk/product/UP8767-PPSA25852_00-0477214502126426" TargetMode="External" /><ns0:Relationship Id="rIdWeb205" Type="http://schemas.openxmlformats.org/officeDocument/2006/relationships/hyperlink" Target="https://store.playstation.com/zh-hant-hk/product/EP7550-CUSA33903_00-7665627901792307" TargetMode="External" /><ns0:Relationship Id="rIdWeb206" Type="http://schemas.openxmlformats.org/officeDocument/2006/relationships/hyperlink" Target="https://store.playstation.com/zh-hant-hk/product/EP5470-CUSA27963_00-4126007917438613" TargetMode="External" /><ns0:Relationship Id="rIdWeb207" Type="http://schemas.openxmlformats.org/officeDocument/2006/relationships/hyperlink" Target="https://store.playstation.com/zh-hant-hk/product/EP5470-CUSA43052_00-0424189799957069" TargetMode="External" /><ns0:Relationship Id="rIdWeb208" Type="http://schemas.openxmlformats.org/officeDocument/2006/relationships/hyperlink" Target="https://store.playstation.com/zh-hant-hk/product/UB1176-PPSA26487_00-0107989559334173" TargetMode="External" /><ns0:Relationship Id="rIdWeb209" Type="http://schemas.openxmlformats.org/officeDocument/2006/relationships/hyperlink" Target="https://store.playstation.com/zh-hant-hk/product/UP7552-CUSA54369_00-0180564092731637" TargetMode="External" /><ns0:Relationship Id="rIdWeb210" Type="http://schemas.openxmlformats.org/officeDocument/2006/relationships/hyperlink" Target="https://store.playstation.com/zh-hant-hk/product/UP8703-CUSA49135_00-0094866556872118" TargetMode="External" /><ns0:Relationship Id="rIdWeb211" Type="http://schemas.openxmlformats.org/officeDocument/2006/relationships/hyperlink" Target="https://store.playstation.com/zh-hant-hk/product/HP7021-CUSA50163_00-0189833330427651" TargetMode="External" /><ns0:Relationship Id="rIdWeb212" Type="http://schemas.openxmlformats.org/officeDocument/2006/relationships/hyperlink" Target="https://store.playstation.com/zh-hant-hk/product/UB0533-PPSA24296_00-0953786153237280" TargetMode="External" /><ns0:Relationship Id="rIdWeb213" Type="http://schemas.openxmlformats.org/officeDocument/2006/relationships/hyperlink" Target="https://store.playstation.com/zh-hant-hk/product/EP3185-CUSA51511_00-BASEGAME00000000" TargetMode="External" /><ns0:Relationship Id="rIdWeb214" Type="http://schemas.openxmlformats.org/officeDocument/2006/relationships/hyperlink" Target="https://store.playstation.com/zh-hant-hk/product/EP5470-PPSA08031_00-2536471118846637" TargetMode="External" /><ns0:Relationship Id="rIdWeb215" Type="http://schemas.openxmlformats.org/officeDocument/2006/relationships/hyperlink" Target="https://store.playstation.com/zh-hant-hk/product/EB1798-PPSA32964_00-0914443718863818" TargetMode="External" /><ns0:Relationship Id="rIdWeb216" Type="http://schemas.openxmlformats.org/officeDocument/2006/relationships/hyperlink" Target="https://store.playstation.com/zh-hant-hk/product/EP6985-CUSA57018_00-0569016007153302" TargetMode="External" /><ns0:Relationship Id="rIdWeb217" Type="http://schemas.openxmlformats.org/officeDocument/2006/relationships/hyperlink" Target="https://store.playstation.com/zh-hant-hk/product/HP6961-PPSA25715_00-0070927794042303" TargetMode="External" /><ns0:Relationship Id="rIdWeb218" Type="http://schemas.openxmlformats.org/officeDocument/2006/relationships/hyperlink" Target="https://store.playstation.com/zh-hant-hk/product/EP6673-CUSA30096_00-9982052837924366" TargetMode="External" /><ns0:Relationship Id="rIdWeb219" Type="http://schemas.openxmlformats.org/officeDocument/2006/relationships/hyperlink" Target="https://store.playstation.com/zh-hant-hk/product/UB0797-CUSA49413_00-0715861397182099" TargetMode="External" /><ns0:Relationship Id="rIdWeb220" Type="http://schemas.openxmlformats.org/officeDocument/2006/relationships/hyperlink" Target="https://store.playstation.com/zh-hant-hk/product/EP2649-PPSA36581_00-0258959709525610" TargetMode="External" /><ns0:Relationship Id="rIdWeb221" Type="http://schemas.openxmlformats.org/officeDocument/2006/relationships/hyperlink" Target="https://store.playstation.com/zh-hant-hk/product/JP1368-PPSA34247_00-KINGDOMRAPPWW000" TargetMode="External" /><ns0:Relationship Id="rIdWeb222" Type="http://schemas.openxmlformats.org/officeDocument/2006/relationships/hyperlink" Target="https://store.playstation.com/zh-hant-hk/product/EP7550-CUSA41633_00-0791015102449201" TargetMode="External" /><ns0:Relationship Id="rIdWeb223" Type="http://schemas.openxmlformats.org/officeDocument/2006/relationships/hyperlink" Target="https://store.playstation.com/zh-hant-hk/product/EP2945-PPSA26330_00-0824201874433515" TargetMode="External" /><ns0:Relationship Id="rIdWeb224" Type="http://schemas.openxmlformats.org/officeDocument/2006/relationships/hyperlink" Target="https://store.playstation.com/zh-hant-hk/product/EP5360-PPSA09516_00-PAPERCUTMANPS5EU" TargetMode="External" /><ns0:Relationship Id="rIdWeb225" Type="http://schemas.openxmlformats.org/officeDocument/2006/relationships/hyperlink" Target="https://store.playstation.com/zh-hant-hk/product/EP7550-CUSA37328_00-2922303130915926" TargetMode="External" /><ns0:Relationship Id="rIdWeb226" Type="http://schemas.openxmlformats.org/officeDocument/2006/relationships/hyperlink" Target="https://store.playstation.com/zh-hant-hk/product/EP7550-PPSA20532_00-0914388704073765" TargetMode="External" /><ns0:Relationship Id="rIdWeb227" Type="http://schemas.openxmlformats.org/officeDocument/2006/relationships/hyperlink" Target="https://store.playstation.com/zh-hant-hk/product/UP7552-PPSA29514_00-0352793673530855" TargetMode="External" /><ns0:Relationship Id="rIdWeb228" Type="http://schemas.openxmlformats.org/officeDocument/2006/relationships/hyperlink" Target="https://store.playstation.com/zh-hant-hk/product/EP5470-CUSA32146_00-0125212255162312" TargetMode="External" /><ns0:Relationship Id="rIdWeb229" Type="http://schemas.openxmlformats.org/officeDocument/2006/relationships/hyperlink" Target="https://store.playstation.com/zh-hant-hk/product/UB0640-PPSA25236_00-0000000000000001" TargetMode="External" /><ns0:Relationship Id="rIdWeb230" Type="http://schemas.openxmlformats.org/officeDocument/2006/relationships/hyperlink" Target="https://store.playstation.com/zh-hant-hk/product/EP7550-CUSA37877_00-1503558463253451" TargetMode="External" /><ns0:Relationship Id="rIdWeb231" Type="http://schemas.openxmlformats.org/officeDocument/2006/relationships/hyperlink" Target="https://store.playstation.com/zh-hant-hk/product/EP7550-CUSA40868_00-0181834331003389" TargetMode="External" /><ns0:Relationship Id="rIdWeb232" Type="http://schemas.openxmlformats.org/officeDocument/2006/relationships/hyperlink" Target="https://store.playstation.com/zh-hant-hk/product/UP0097-PPSA32810_00-DRILLCOREGAME000" TargetMode="External" /><ns0:Relationship Id="rIdWeb233" Type="http://schemas.openxmlformats.org/officeDocument/2006/relationships/hyperlink" Target="https://store.playstation.com/zh-hant-hk/product/HB1160-PPSA31093_00-0588979311866936" TargetMode="External" /><ns0:Relationship Id="rIdWeb234" Type="http://schemas.openxmlformats.org/officeDocument/2006/relationships/hyperlink" Target="https://store.playstation.com/zh-hant-hk/product/UB0867-PPSA27102_00-0714055995746746" TargetMode="External" /><ns0:Relationship Id="rIdWeb235" Type="http://schemas.openxmlformats.org/officeDocument/2006/relationships/hyperlink" Target="https://store.playstation.com/zh-hant-hk/product/EP7550-CUSA38307_00-9361531498770776" TargetMode="External" /><ns0:Relationship Id="rIdWeb236" Type="http://schemas.openxmlformats.org/officeDocument/2006/relationships/hyperlink" Target="https://store.playstation.com/zh-hant-hk/product/UB1486-CUSA54340_00-0010859984137076" TargetMode="External" /><ns0:Relationship Id="rIdWeb237" Type="http://schemas.openxmlformats.org/officeDocument/2006/relationships/hyperlink" Target="https://store.playstation.com/zh-hant-hk/product/EP0546-CUSA25876_00-CHESSKPS4QUBYTEU" TargetMode="External" /><ns0:Relationship Id="rIdWeb238" Type="http://schemas.openxmlformats.org/officeDocument/2006/relationships/hyperlink" Target="https://store.playstation.com/zh-hant-hk/product/EP0131-CUSA23761_00-WINTERMOORTACTIC" TargetMode="External" /><ns0:Relationship Id="rIdWeb239" Type="http://schemas.openxmlformats.org/officeDocument/2006/relationships/hyperlink" Target="https://store.playstation.com/zh-hant-hk/product/UB1486-CUSA55861_00-0127425819934379" TargetMode="External" /><ns0:Relationship Id="rIdWeb240" Type="http://schemas.openxmlformats.org/officeDocument/2006/relationships/hyperlink" Target="https://store.playstation.com/zh-hant-hk/product/EP7550-CUSA42856_00-0605803169547051" TargetMode="External" /><ns0:Relationship Id="rIdWeb241" Type="http://schemas.openxmlformats.org/officeDocument/2006/relationships/hyperlink" Target="https://store.playstation.com/zh-hant-hk/product/EP7550-CUSA33470_00-5135857784014559" TargetMode="External" /><ns0:Relationship Id="rIdWeb242" Type="http://schemas.openxmlformats.org/officeDocument/2006/relationships/hyperlink" Target="https://store.playstation.com/zh-hant-hk/product/UP0770-PPSA37008_00-0476671531785738" TargetMode="External" /><ns0:Relationship Id="rIdWeb243" Type="http://schemas.openxmlformats.org/officeDocument/2006/relationships/hyperlink" Target="https://store.playstation.com/zh-hant-hk/product/EP7550-CUSA45497_00-0242450875943629" TargetMode="External" /><ns0:Relationship Id="rIdWeb244" Type="http://schemas.openxmlformats.org/officeDocument/2006/relationships/hyperlink" Target="https://store.playstation.com/zh-hant-hk/product/EB1267-PPSA34382_00-0451875553970556" TargetMode="External" /><ns0:Relationship Id="rIdWeb245" Type="http://schemas.openxmlformats.org/officeDocument/2006/relationships/hyperlink" Target="https://store.playstation.com/zh-hant-hk/product/EP7550-CUSA33132_00-8197108488876901" TargetMode="External" /><ns0:Relationship Id="rIdWeb246" Type="http://schemas.openxmlformats.org/officeDocument/2006/relationships/hyperlink" Target="https://store.playstation.com/zh-hant-hk/product/UP8616-PPSA35248_00-0134721857860259" TargetMode="External" /><ns0:Relationship Id="rIdWeb247" Type="http://schemas.openxmlformats.org/officeDocument/2006/relationships/hyperlink" Target="https://store.playstation.com/zh-hant-hk/product/EB0575-PPSA21176_00-0039962177978831" TargetMode="External" /><ns0:Relationship Id="rIdWeb248" Type="http://schemas.openxmlformats.org/officeDocument/2006/relationships/hyperlink" Target="https://store.playstation.com/zh-hant-hk/product/EP5360-PPSA07963_00-SWORDSHIP00005EU" TargetMode="External" /><ns0:Relationship Id="rIdWeb249" Type="http://schemas.openxmlformats.org/officeDocument/2006/relationships/hyperlink" Target="https://store.playstation.com/zh-hant-hk/product/UP1725-PPSA33636_00-0196402648790000" TargetMode="External" /><ns0:Relationship Id="rIdWeb250" Type="http://schemas.openxmlformats.org/officeDocument/2006/relationships/hyperlink" Target="https://store.playstation.com/zh-hant-hk/product/JP0281-CUSA50058_00-0886152352236065" TargetMode="External" /><ns0:Relationship Id="rIdWeb251" Type="http://schemas.openxmlformats.org/officeDocument/2006/relationships/hyperlink" Target="https://store.playstation.com/zh-hant-hk/product/UB0797-CUSA49087_00-0108246090547964" TargetMode="External" /><ns0:Relationship Id="rIdWeb252" Type="http://schemas.openxmlformats.org/officeDocument/2006/relationships/hyperlink" Target="https://store.playstation.com/zh-hant-hk/product/EP1629-CUSA13519_00-SEASONMATCH10000" TargetMode="External" /><ns0:Relationship Id="rIdWeb253" Type="http://schemas.openxmlformats.org/officeDocument/2006/relationships/hyperlink" Target="https://store.playstation.com/zh-hant-hk/product/EP0131-PPSA04468_00-THEHANDMERLINPS5" TargetMode="External" /><ns0:Relationship Id="rIdWeb254" Type="http://schemas.openxmlformats.org/officeDocument/2006/relationships/hyperlink" Target="https://store.playstation.com/zh-hant-hk/product/EB0759-PPSA20537_00-GOLFINGINAETHER0" TargetMode="External" /><ns0:Relationship Id="rIdWeb255" Type="http://schemas.openxmlformats.org/officeDocument/2006/relationships/hyperlink" Target="https://store.playstation.com/zh-hant-hk/product/EP7550-CUSA46098_00-0281678351229941" TargetMode="External" /><ns0:Relationship Id="rIdWeb256" Type="http://schemas.openxmlformats.org/officeDocument/2006/relationships/hyperlink" Target="https://store.playstation.com/zh-hant-hk/product/EP7550-CUSA45079_00-0315241079355766" TargetMode="External" /><ns0:Relationship Id="rIdWeb257" Type="http://schemas.openxmlformats.org/officeDocument/2006/relationships/hyperlink" Target="https://store.playstation.com/zh-hant-hk/product/UP7552-PPSA27972_00-0458875133580972" TargetMode="External" /><ns0:Relationship Id="rIdWeb258" Type="http://schemas.openxmlformats.org/officeDocument/2006/relationships/hyperlink" Target="https://store.playstation.com/zh-hant-hk/product/EP6880-PPSA38040_00-0985874501196571" TargetMode="External" /><ns0:Relationship Id="rIdWeb259" Type="http://schemas.openxmlformats.org/officeDocument/2006/relationships/hyperlink" Target="https://store.playstation.com/zh-hant-hk/product/UP7552-CUSA49246_00-0041073965252727" TargetMode="External" /><ns0:Relationship Id="rIdWeb260" Type="http://schemas.openxmlformats.org/officeDocument/2006/relationships/hyperlink" Target="https://store.playstation.com/zh-hant-hk/product/EP7550-CUSA37727_00-6263474854911910" TargetMode="External" /><ns0:Relationship Id="rIdWeb261" Type="http://schemas.openxmlformats.org/officeDocument/2006/relationships/hyperlink" Target="https://store.playstation.com/zh-hant-hk/product/EP6673-CUSA31822_00-2404687288833527" TargetMode="External" /><ns0:Relationship Id="rIdWeb262" Type="http://schemas.openxmlformats.org/officeDocument/2006/relationships/hyperlink" Target="https://store.playstation.com/zh-hant-hk/product/EP7550-CUSA32139_00-0432753763688551" TargetMode="External" /><ns0:Relationship Id="rIdWeb263" Type="http://schemas.openxmlformats.org/officeDocument/2006/relationships/hyperlink" Target="https://store.playstation.com/zh-hant-hk/product/EP5360-PPSA08955_00-TOGGES00000005EU" TargetMode="External" /><ns0:Relationship Id="rIdWeb264" Type="http://schemas.openxmlformats.org/officeDocument/2006/relationships/hyperlink" Target="https://store.playstation.com/zh-hant-hk/product/UP6410-CUSA53619_00-0457773201980063" TargetMode="External" /><ns0:Relationship Id="rIdWeb265" Type="http://schemas.openxmlformats.org/officeDocument/2006/relationships/hyperlink" Target="https://store.playstation.com/zh-hant-hk/product/EP7550-CUSA38305_00-4434531325641824" TargetMode="External" /><ns0:Relationship Id="rIdWeb266" Type="http://schemas.openxmlformats.org/officeDocument/2006/relationships/hyperlink" Target="https://store.playstation.com/zh-hant-hk/product/EP7550-CUSA37174_00-0303913024847259" TargetMode="External" /><ns0:Relationship Id="rIdWeb267" Type="http://schemas.openxmlformats.org/officeDocument/2006/relationships/hyperlink" Target="https://store.playstation.com/zh-hant-hk/product/UP1725-CUSA53911_00-0167322491347088" TargetMode="External" /><ns0:Relationship Id="rIdWeb268" Type="http://schemas.openxmlformats.org/officeDocument/2006/relationships/hyperlink" Target="https://store.playstation.com/zh-hant-hk/product/EP7990-CUSA47222_00-0850166785310262" TargetMode="External" /><ns0:Relationship Id="rIdWeb269" Type="http://schemas.openxmlformats.org/officeDocument/2006/relationships/hyperlink" Target="https://store.playstation.com/zh-hant-hk/product/UP7552-PPSA33418_00-0370858210241861" TargetMode="External" /><ns0:Relationship Id="rIdWeb270" Type="http://schemas.openxmlformats.org/officeDocument/2006/relationships/hyperlink" Target="https://store.playstation.com/zh-hant-hk/product/EP0600-PPSA27180_00-0837242185335853" TargetMode="External" /><ns0:Relationship Id="rIdWeb271" Type="http://schemas.openxmlformats.org/officeDocument/2006/relationships/hyperlink" Target="https://store.playstation.com/zh-hant-hk/product/HP7021-CUSA56568_00-0921120509579607" TargetMode="External" /><ns0:Relationship Id="rIdWeb272" Type="http://schemas.openxmlformats.org/officeDocument/2006/relationships/hyperlink" Target="https://store.playstation.com/zh-hant-hk/product/HP5035-PPSA23836_00-LOVETOOEASILY000" TargetMode="External" /><ns0:Relationship Id="rIdWeb273" Type="http://schemas.openxmlformats.org/officeDocument/2006/relationships/hyperlink" Target="https://store.playstation.com/zh-hant-hk/product/EP7550-CUSA43809_00-0819169811157834" TargetMode="External" /><ns0:Relationship Id="rIdWeb274" Type="http://schemas.openxmlformats.org/officeDocument/2006/relationships/hyperlink" Target="https://store.playstation.com/zh-hant-hk/product/EP6673-CUSA27806_00-1339547042502747" TargetMode="External" /><ns0:Relationship Id="rIdWeb275" Type="http://schemas.openxmlformats.org/officeDocument/2006/relationships/hyperlink" Target="https://store.playstation.com/zh-hant-hk/product/EP7550-CUSA33776_00-2091976118631433" TargetMode="External" /><ns0:Relationship Id="rIdWeb276" Type="http://schemas.openxmlformats.org/officeDocument/2006/relationships/hyperlink" Target="https://store.playstation.com/zh-hant-hk/product/EP6673-CUSA28020_00-9163513243367248" TargetMode="External" /><ns0:Relationship Id="rIdWeb277" Type="http://schemas.openxmlformats.org/officeDocument/2006/relationships/hyperlink" Target="https://store.playstation.com/zh-hant-hk/product/EP7550-CUSA42558_00-0718859659710858" TargetMode="External" /><ns0:Relationship Id="rIdWeb278" Type="http://schemas.openxmlformats.org/officeDocument/2006/relationships/hyperlink" Target="https://store.playstation.com/zh-hant-hk/product/UP2803-PPSA29820_00-0735965035884208" TargetMode="External" /><ns0:Relationship Id="rIdWeb279" Type="http://schemas.openxmlformats.org/officeDocument/2006/relationships/hyperlink" Target="https://store.playstation.com/zh-hant-hk/product/EP2520-CUSA20092_00-RADRABSTEWBUNDLE" TargetMode="External" /><ns0:Relationship Id="rIdWeb280" Type="http://schemas.openxmlformats.org/officeDocument/2006/relationships/hyperlink" Target="https://store.playstation.com/zh-hant-hk/product/EP7550-CUSA38303_00-4280520702133952" TargetMode="External" /><ns0:Relationship Id="rIdWeb281" Type="http://schemas.openxmlformats.org/officeDocument/2006/relationships/hyperlink" Target="https://store.playstation.com/zh-hant-hk/product/UP7552-PPSA28253_00-0586356181865211" TargetMode="External" /><ns0:Relationship Id="rIdWeb282" Type="http://schemas.openxmlformats.org/officeDocument/2006/relationships/hyperlink" Target="https://store.playstation.com/zh-hant-hk/product/HB1317-PPSA27886_00-0247499320799261" TargetMode="External" /><ns0:Relationship Id="rIdWeb283" Type="http://schemas.openxmlformats.org/officeDocument/2006/relationships/hyperlink" Target="https://store.playstation.com/zh-hant-hk/product/HB1317-PPSA27886_00-0499413178236378" TargetMode="External" /><ns0:Relationship Id="rIdWeb284" Type="http://schemas.openxmlformats.org/officeDocument/2006/relationships/hyperlink" Target="https://store.playstation.com/zh-hant-hk/product/EP7550-CUSA34593_00-4932614555456409" TargetMode="External" /><ns0:Relationship Id="rIdWeb285" Type="http://schemas.openxmlformats.org/officeDocument/2006/relationships/hyperlink" Target="https://store.playstation.com/zh-hant-hk/product/EP6673-CUSA36253_00-6093037814853961" TargetMode="External" /><ns0:Relationship Id="rIdWeb286" Type="http://schemas.openxmlformats.org/officeDocument/2006/relationships/hyperlink" Target="https://store.playstation.com/zh-hant-hk/product/EP5470-CUSA28364_00-7654710681036779" TargetMode="External" /><ns0:Relationship Id="rIdWeb287" Type="http://schemas.openxmlformats.org/officeDocument/2006/relationships/hyperlink" Target="https://store.playstation.com/zh-hant-hk/product/UP0604-PPSA23172_00-0921612260447096" TargetMode="External" /><ns0:Relationship Id="rIdWeb288" Type="http://schemas.openxmlformats.org/officeDocument/2006/relationships/hyperlink" Target="https://store.playstation.com/zh-hant-hk/product/UB1052-CUSA51714_00-0794453398445708" TargetMode="External" /><ns0:Relationship Id="rIdWeb289" Type="http://schemas.openxmlformats.org/officeDocument/2006/relationships/hyperlink" Target="https://store.playstation.com/zh-hant-hk/product/EP7314-CUSA32197_00-FUELEDUP00000000" TargetMode="External" /><ns0:Relationship Id="rIdWeb290" Type="http://schemas.openxmlformats.org/officeDocument/2006/relationships/hyperlink" Target="https://store.playstation.com/zh-hant-hk/product/EP7550-CUSA41203_00-0187700422964711" TargetMode="External" /><ns0:Relationship Id="rIdWeb291" Type="http://schemas.openxmlformats.org/officeDocument/2006/relationships/hyperlink" Target="https://store.playstation.com/zh-hant-hk/product/EP5470-PPSA25222_00-0495375352291321" TargetMode="External" /><ns0:Relationship Id="rIdWeb292" Type="http://schemas.openxmlformats.org/officeDocument/2006/relationships/hyperlink" Target="https://store.playstation.com/zh-hant-hk/product/EP5470-PPSA25222_00-0977611458339580" TargetMode="External" /><ns0:Relationship Id="rIdWeb293" Type="http://schemas.openxmlformats.org/officeDocument/2006/relationships/hyperlink" Target="https://store.playstation.com/zh-hant-hk/product/UP7552-CUSA57058_00-0077312878047666" TargetMode="External" /><ns0:Relationship Id="rIdWeb294" Type="http://schemas.openxmlformats.org/officeDocument/2006/relationships/hyperlink" Target="https://store.playstation.com/zh-hant-hk/product/EP7550-CUSA41164_00-0361277801754447" TargetMode="External" /><ns0:Relationship Id="rIdWeb295" Type="http://schemas.openxmlformats.org/officeDocument/2006/relationships/hyperlink" Target="https://store.playstation.com/zh-hant-hk/product/UP2680-PPSA20775_00-0825889626691400" TargetMode="External" /><ns0:Relationship Id="rIdWeb296" Type="http://schemas.openxmlformats.org/officeDocument/2006/relationships/hyperlink" Target="https://store.playstation.com/zh-hant-hk/product/HP5035-PPSA35525_00-LOVETOOEASILY200" TargetMode="External" /><ns0:Relationship Id="rIdWeb297" Type="http://schemas.openxmlformats.org/officeDocument/2006/relationships/hyperlink" Target="https://store.playstation.com/zh-hant-hk/product/JP0055-PPSA23888_00-NOMOSGIRLSPS5PRO" TargetMode="External" /><ns0:Relationship Id="rIdWeb298" Type="http://schemas.openxmlformats.org/officeDocument/2006/relationships/hyperlink" Target="https://store.playstation.com/zh-hant-hk/product/UP6261-PPSA25191_00-REALHEROESFFHD00" TargetMode="External" /><ns0:Relationship Id="rIdWeb299" Type="http://schemas.openxmlformats.org/officeDocument/2006/relationships/hyperlink" Target="https://store.playstation.com/zh-hant-hk/product/EP7550-CUSA40997_00-0124496814992168" TargetMode="External" /><ns0:Relationship Id="rIdWeb300" Type="http://schemas.openxmlformats.org/officeDocument/2006/relationships/hyperlink" Target="https://store.playstation.com/zh-hant-hk/product/UP7552-PPSA24008_00-0193588373535182" TargetMode="External" /><ns0:Relationship Id="rIdWeb301" Type="http://schemas.openxmlformats.org/officeDocument/2006/relationships/hyperlink" Target="https://store.playstation.com/zh-hant-hk/product/UP8616-PPSA30955_00-0044343586612870" TargetMode="External" /><ns0:Relationship Id="rIdWeb302" Type="http://schemas.openxmlformats.org/officeDocument/2006/relationships/hyperlink" Target="https://store.playstation.com/zh-hant-hk/product/UP7552-CUSA52033_00-0794946550794325" TargetMode="External" /><ns0:Relationship Id="rIdWeb303" Type="http://schemas.openxmlformats.org/officeDocument/2006/relationships/hyperlink" Target="https://store.playstation.com/zh-hant-hk/product/EP2919-CUSA57884_00-0465326694099222" TargetMode="External" /><ns0:Relationship Id="rIdWeb304" Type="http://schemas.openxmlformats.org/officeDocument/2006/relationships/hyperlink" Target="https://store.playstation.com/zh-hant-hk/product/UB1052-PPSA30303_00-0417701146549258" TargetMode="External" /><ns0:Relationship Id="rIdWeb305" Type="http://schemas.openxmlformats.org/officeDocument/2006/relationships/hyperlink" Target="https://store.playstation.com/zh-hant-hk/product/UP2005-PPSA35823_00-THEFISSURE000000" TargetMode="External" /><ns0:Relationship Id="rIdWeb306" Type="http://schemas.openxmlformats.org/officeDocument/2006/relationships/hyperlink" Target="https://store.playstation.com/zh-hant-hk/product/UP7552-CUSA57912_00-0673391679769545" TargetMode="External" /><ns0:Relationship Id="rIdWeb307" Type="http://schemas.openxmlformats.org/officeDocument/2006/relationships/hyperlink" Target="https://store.playstation.com/zh-hant-hk/product/EP7550-PPSA20860_00-0345882530257808" TargetMode="External" /><ns0:Relationship Id="rIdWeb308" Type="http://schemas.openxmlformats.org/officeDocument/2006/relationships/hyperlink" Target="https://store.playstation.com/zh-hant-hk/product/UP7552-PPSA31178_00-0173005904556107" TargetMode="External" /><ns0:Relationship Id="rIdWeb309" Type="http://schemas.openxmlformats.org/officeDocument/2006/relationships/hyperlink" Target="https://store.playstation.com/zh-hant-hk/product/UP0781-PPSA29765_00-SURVIVORMERCSSGU" TargetMode="External" /><ns0:Relationship Id="rIdWeb310" Type="http://schemas.openxmlformats.org/officeDocument/2006/relationships/hyperlink" Target="https://store.playstation.com/zh-hant-hk/product/EP7550-CUSA45855_00-0168223708301944" TargetMode="External" /><ns0:Relationship Id="rIdWeb311" Type="http://schemas.openxmlformats.org/officeDocument/2006/relationships/hyperlink" Target="https://store.playstation.com/zh-hant-hk/product/EP8733-PPSA22450_00-0375647599448716" TargetMode="External" /><ns0:Relationship Id="rIdWeb312" Type="http://schemas.openxmlformats.org/officeDocument/2006/relationships/hyperlink" Target="https://store.playstation.com/zh-hant-hk/product/UP7552-PPSA31123_00-0501231138155437" TargetMode="External" /><ns0:Relationship Id="rIdWeb313" Type="http://schemas.openxmlformats.org/officeDocument/2006/relationships/hyperlink" Target="https://store.playstation.com/zh-hant-hk/product/UP7552-PPSA36142_00-0908027923543378" TargetMode="External" /><ns0:Relationship Id="rIdWeb314" Type="http://schemas.openxmlformats.org/officeDocument/2006/relationships/hyperlink" Target="https://store.playstation.com/zh-hant-hk/product/EB1420-PPSA33528_00-0795724090757565" TargetMode="External" /><ns0:Relationship Id="rIdWeb315" Type="http://schemas.openxmlformats.org/officeDocument/2006/relationships/hyperlink" Target="https://store.playstation.com/zh-hant-hk/product/EP7550-CUSA37452_00-3257587828038641" TargetMode="External" /><ns0:Relationship Id="rIdWeb316" Type="http://schemas.openxmlformats.org/officeDocument/2006/relationships/hyperlink" Target="https://store.playstation.com/zh-hant-hk/product/UP2005-PPSA37826_00-BLASTNBOUNTY0000" TargetMode="External" /><ns0:Relationship Id="rIdWeb317" Type="http://schemas.openxmlformats.org/officeDocument/2006/relationships/hyperlink" Target="https://store.playstation.com/zh-hant-hk/product/HB1689-CUSA55366_00-0194722846554807" TargetMode="External" /><ns0:Relationship Id="rIdWeb318" Type="http://schemas.openxmlformats.org/officeDocument/2006/relationships/hyperlink" Target="https://store.playstation.com/zh-hant-hk/product/EP7550-CUSA43923_00-0606181087949804" TargetMode="External" /><ns0:Relationship Id="rIdWeb319" Type="http://schemas.openxmlformats.org/officeDocument/2006/relationships/hyperlink" Target="https://store.playstation.com/zh-hant-hk/product/UP7552-PPSA38263_00-0799382302738830" TargetMode="External" /><ns0:Relationship Id="rIdWeb320" Type="http://schemas.openxmlformats.org/officeDocument/2006/relationships/hyperlink" Target="https://store.playstation.com/zh-hant-hk/product/UB0538-PPSA34659_00-OURBURIALDOLLPS5" TargetMode="External" /><ns0:Relationship Id="rIdWeb321" Type="http://schemas.openxmlformats.org/officeDocument/2006/relationships/hyperlink" Target="https://store.playstation.com/zh-hant-hk/product/EP0546-CUSA33570_00-HIMEHERCOLLECTEU" TargetMode="External" /><ns0:Relationship Id="rIdWeb322" Type="http://schemas.openxmlformats.org/officeDocument/2006/relationships/hyperlink" Target="https://store.playstation.com/zh-hant-hk/product/UP2005-PPSA29105_00-BUNNYCUBED000000" TargetMode="External" /><ns0:Relationship Id="rIdWeb323" Type="http://schemas.openxmlformats.org/officeDocument/2006/relationships/hyperlink" Target="https://store.playstation.com/zh-hant-hk/product/EP7990-CUSA53256_00-0852375502500487" TargetMode="External" /><ns0:Relationship Id="rIdWeb324" Type="http://schemas.openxmlformats.org/officeDocument/2006/relationships/hyperlink" Target="https://store.playstation.com/zh-hant-hk/product/UP7552-CUSA56523_00-0766304433958207" TargetMode="External" /><ns0:Relationship Id="rIdWeb325" Type="http://schemas.openxmlformats.org/officeDocument/2006/relationships/hyperlink" Target="https://store.playstation.com/zh-hant-hk/product/UP8616-PPSA33207_00-0226722077886170" TargetMode="External" /><ns0:Relationship Id="rIdWeb326" Type="http://schemas.openxmlformats.org/officeDocument/2006/relationships/hyperlink" Target="https://store.playstation.com/zh-hant-hk/product/JP1091-CUSA55587_00-0203830401691506" TargetMode="External" /><ns0:Relationship Id="rIdWeb327" Type="http://schemas.openxmlformats.org/officeDocument/2006/relationships/hyperlink" Target="https://store.playstation.com/zh-hant-hk/product/UB0383-PPSA36500_00-0172642485750473" TargetMode="External" /><ns0:Relationship Id="rIdWeb328" Type="http://schemas.openxmlformats.org/officeDocument/2006/relationships/hyperlink" Target="https://store.playstation.com/zh-hant-hk/product/EP7550-CUSA36884_00-9916040728399532" TargetMode="External" /><ns0:Relationship Id="rIdWeb329" Type="http://schemas.openxmlformats.org/officeDocument/2006/relationships/hyperlink" Target="https://store.playstation.com/zh-hant-hk/product/UP7552-CUSA57593_00-0943448471748180" TargetMode="External" /><ns0:Relationship Id="rIdWeb330" Type="http://schemas.openxmlformats.org/officeDocument/2006/relationships/hyperlink" Target="https://store.playstation.com/zh-hant-hk/product/HB1160-PPSA31116_00-0824156255769709" TargetMode="External" /><ns0:Relationship Id="rIdWeb331" Type="http://schemas.openxmlformats.org/officeDocument/2006/relationships/hyperlink" Target="https://store.playstation.com/zh-hant-hk/product/HP7021-CUSA51292_00-0981201891627179" TargetMode="External" /><ns0:Relationship Id="rIdWeb332" Type="http://schemas.openxmlformats.org/officeDocument/2006/relationships/hyperlink" Target="https://store.playstation.com/zh-hant-hk/product/UB0383-PPSA32320_00-0385001299986914" TargetMode="External" /><ns0:Relationship Id="rIdWeb333" Type="http://schemas.openxmlformats.org/officeDocument/2006/relationships/hyperlink" Target="https://store.playstation.com/zh-hant-hk/product/UP7552-PPSA32111_00-0166822221804032" TargetMode="External" /><ns0:Relationship Id="rIdWeb334" Type="http://schemas.openxmlformats.org/officeDocument/2006/relationships/hyperlink" Target="https://store.playstation.com/zh-hant-hk/product/UB0528-CUSA55884_00-0385775224487898" TargetMode="External" /><ns0:Relationship Id="rIdWeb335" Type="http://schemas.openxmlformats.org/officeDocument/2006/relationships/hyperlink" Target="https://store.playstation.com/zh-hant-hk/product/EP2723-PPSA23883_00-CALICOPS50000000" TargetMode="External" /><ns0:Relationship Id="rIdWeb336" Type="http://schemas.openxmlformats.org/officeDocument/2006/relationships/hyperlink" Target="https://store.playstation.com/zh-hant-hk/product/UP7552-CUSA58456_00-0692293652194529" TargetMode="External" /><ns0:Relationship Id="rIdWeb337" Type="http://schemas.openxmlformats.org/officeDocument/2006/relationships/hyperlink" Target="https://store.playstation.com/zh-hant-hk/product/EP7550-CUSA41961_00-0598205496196237" TargetMode="External" /><ns0:Relationship Id="rIdWeb338" Type="http://schemas.openxmlformats.org/officeDocument/2006/relationships/hyperlink" Target="https://store.playstation.com/zh-hant-hk/product/EP7550-CUSA40627_00-0915127036407398" TargetMode="External" /><ns0:Relationship Id="rIdWeb339" Type="http://schemas.openxmlformats.org/officeDocument/2006/relationships/hyperlink" Target="https://store.playstation.com/zh-hant-hk/product/EP1629-CUSA40543_00-NAMARIELLJDPS4EU" TargetMode="External" /><ns0:Relationship Id="rIdWeb340" Type="http://schemas.openxmlformats.org/officeDocument/2006/relationships/hyperlink" Target="https://store.playstation.com/zh-hant-hk/product/UP2005-PPSA34209_00-BOOKOFKORVALD000" TargetMode="External" /><ns0:Relationship Id="rIdWeb341" Type="http://schemas.openxmlformats.org/officeDocument/2006/relationships/hyperlink" Target="https://store.playstation.com/zh-hant-hk/product/UB0062-PPSA26653_00-0030441321367159" TargetMode="External" /><ns0:Relationship Id="rIdWeb342" Type="http://schemas.openxmlformats.org/officeDocument/2006/relationships/hyperlink" Target="https://store.playstation.com/zh-hant-hk/product/EP7550-CUSA39155_00-9395307670636406" TargetMode="External" /><ns0:Relationship Id="rIdWeb343" Type="http://schemas.openxmlformats.org/officeDocument/2006/relationships/hyperlink" Target="https://store.playstation.com/zh-hant-hk/product/EP7550-CUSA46132_00-0178288926692038" TargetMode="External" /><ns0:Relationship Id="rIdWeb344" Type="http://schemas.openxmlformats.org/officeDocument/2006/relationships/hyperlink" Target="https://store.playstation.com/zh-hant-hk/product/UB0383-PPSA31227_00-0677439178908872" TargetMode="External" /><ns0:Relationship Id="rIdWeb345" Type="http://schemas.openxmlformats.org/officeDocument/2006/relationships/hyperlink" Target="https://store.playstation.com/zh-hant-hk/product/UB1052-PPSA35515_00-0049737547342605" TargetMode="External" /><ns0:Relationship Id="rIdWeb346" Type="http://schemas.openxmlformats.org/officeDocument/2006/relationships/hyperlink" Target="https://store.playstation.com/zh-hant-hk/product/UB0538-PPSA22727_00-HOWTOSINGTOPENR5" TargetMode="External" /><ns0:Relationship Id="rIdWeb347" Type="http://schemas.openxmlformats.org/officeDocument/2006/relationships/hyperlink" Target="https://store.playstation.com/zh-hant-hk/product/UB2030-CUSA57136_00-0650201472380641" TargetMode="External" /><ns0:Relationship Id="rIdWeb348" Type="http://schemas.openxmlformats.org/officeDocument/2006/relationships/hyperlink" Target="https://store.playstation.com/zh-hant-hk/product/UP6410-PPSA29102_00-0896471929400473" TargetMode="External" /><ns0:Relationship Id="rIdWeb349" Type="http://schemas.openxmlformats.org/officeDocument/2006/relationships/hyperlink" Target="https://store.playstation.com/zh-hant-hk/product/UB1052-PPSA35515_00-0095518608728978" TargetMode="External" /><ns0:Relationship Id="rIdWeb350" Type="http://schemas.openxmlformats.org/officeDocument/2006/relationships/hyperlink" Target="https://store.playstation.com/zh-hant-hk/product/UB0538-PPSA25304_00-CAFE0BEASTREMPS5" TargetMode="External" /><ns0:Relationship Id="rIdWeb351" Type="http://schemas.openxmlformats.org/officeDocument/2006/relationships/hyperlink" Target="https://store.playstation.com/zh-hant-hk/product/UP7552-CUSA59179_00-0815720832165369" TargetMode="External" /><ns0:Relationship Id="rIdWeb352" Type="http://schemas.openxmlformats.org/officeDocument/2006/relationships/hyperlink" Target="https://store.playstation.com/zh-hant-hk/product/EP6673-CUSA31830_00-8717953964653109" TargetMode="External" /><ns0:Relationship Id="rIdWeb353" Type="http://schemas.openxmlformats.org/officeDocument/2006/relationships/hyperlink" Target="https://store.playstation.com/zh-hant-hk/product/UP7552-PPSA31786_00-0871063235687912" TargetMode="External" /><ns0:Relationship Id="rIdWeb354" Type="http://schemas.openxmlformats.org/officeDocument/2006/relationships/hyperlink" Target="https://store.playstation.com/zh-hant-hk/product/EP7550-CUSA35281_00-6098522663620716" TargetMode="External" /><ns0:Relationship Id="rIdWeb355" Type="http://schemas.openxmlformats.org/officeDocument/2006/relationships/hyperlink" Target="https://store.playstation.com/zh-hant-hk/product/UP7552-CUSA57219_00-0341729399645131" TargetMode="External" /><ns0:Relationship Id="rIdWeb356" Type="http://schemas.openxmlformats.org/officeDocument/2006/relationships/hyperlink" Target="https://store.playstation.com/zh-hant-hk/product/UB0383-PPSA28905_00-0872022799686079" TargetMode="External" /><ns0:Relationship Id="rIdWeb357" Type="http://schemas.openxmlformats.org/officeDocument/2006/relationships/hyperlink" Target="https://store.playstation.com/zh-hant-hk/product/EB1299-PPSA25140_00-0855732320703900" TargetMode="External" /><ns0:Relationship Id="rIdWeb358" Type="http://schemas.openxmlformats.org/officeDocument/2006/relationships/hyperlink" Target="https://store.playstation.com/zh-hant-hk/product/UP2803-PPSA34841_00-0416243726410095" TargetMode="External" /><ns0:Relationship Id="rIdWeb359" Type="http://schemas.openxmlformats.org/officeDocument/2006/relationships/hyperlink" Target="https://store.playstation.com/zh-hant-hk/product/EP7550-CUSA40486_00-0466187692138731" TargetMode="External" /><ns0:Relationship Id="rIdWeb360" Type="http://schemas.openxmlformats.org/officeDocument/2006/relationships/hyperlink" Target="https://store.playstation.com/zh-hant-hk/product/UP8767-PPSA25659_00-0877137062054680" TargetMode="External" /><ns0:Relationship Id="rIdWeb361" Type="http://schemas.openxmlformats.org/officeDocument/2006/relationships/hyperlink" Target="https://store.playstation.com/zh-hant-hk/product/UP7552-CUSA50859_00-0304164023570212" TargetMode="External" /><ns0:Relationship Id="rIdWeb362" Type="http://schemas.openxmlformats.org/officeDocument/2006/relationships/hyperlink" Target="https://store.playstation.com/zh-hant-hk/product/UP7552-PPSA31879_00-0454893343799301" TargetMode="External" /><ns0:Relationship Id="rIdWeb363" Type="http://schemas.openxmlformats.org/officeDocument/2006/relationships/hyperlink" Target="https://store.playstation.com/zh-hant-hk/product/EP7550-CUSA31867_00-2707693119189858" TargetMode="External" /><ns0:Relationship Id="rIdWeb364" Type="http://schemas.openxmlformats.org/officeDocument/2006/relationships/hyperlink" Target="https://store.playstation.com/zh-hant-hk/product/UP7552-PPSA36261_00-0152594528626075" TargetMode="External" /><ns0:Relationship Id="rIdWeb365" Type="http://schemas.openxmlformats.org/officeDocument/2006/relationships/hyperlink" Target="https://store.playstation.com/zh-hant-hk/product/EP6985-PPSA32692_00-0737156190750313" TargetMode="External" /><ns0:Relationship Id="rIdWeb366" Type="http://schemas.openxmlformats.org/officeDocument/2006/relationships/hyperlink" Target="https://store.playstation.com/zh-hant-hk/product/HP5035-PPSA28756_00-0798622566175268" TargetMode="External" /><ns0:Relationship Id="rIdWeb367" Type="http://schemas.openxmlformats.org/officeDocument/2006/relationships/hyperlink" Target="https://store.playstation.com/zh-hant-hk/product/UP7552-PPSA28390_00-0944052696285321" TargetMode="External" /><ns0:Relationship Id="rIdWeb368" Type="http://schemas.openxmlformats.org/officeDocument/2006/relationships/hyperlink" Target="https://store.playstation.com/zh-hant-hk/product/UP7552-CUSA58776_00-0804256878260663" TargetMode="External" /><ns0:Relationship Id="rIdWeb369" Type="http://schemas.openxmlformats.org/officeDocument/2006/relationships/hyperlink" Target="https://store.playstation.com/zh-hant-hk/product/UP7552-CUSA51479_00-0697921775982670" TargetMode="External" /><ns0:Relationship Id="rIdWeb370" Type="http://schemas.openxmlformats.org/officeDocument/2006/relationships/hyperlink" Target="https://store.playstation.com/zh-hant-hk/product/EP8073-PPSA24763_00-HEXASCAPECD00000" TargetMode="External" /><ns0:Relationship Id="rIdWeb371" Type="http://schemas.openxmlformats.org/officeDocument/2006/relationships/hyperlink" Target="https://store.playstation.com/zh-hant-hk/product/UP7552-PPSA34094_00-0643640651583351" TargetMode="External" /><ns0:Relationship Id="rIdWeb372" Type="http://schemas.openxmlformats.org/officeDocument/2006/relationships/hyperlink" Target="https://store.playstation.com/zh-hant-hk/product/EP7550-CUSA45100_00-0696542759372635" TargetMode="External" /><ns0:Relationship Id="rIdWeb373" Type="http://schemas.openxmlformats.org/officeDocument/2006/relationships/hyperlink" Target="https://store.playstation.com/zh-hant-hk/product/EP7550-CUSA45936_00-0914410941955754" TargetMode="External" /><ns0:Relationship Id="rIdWeb374" Type="http://schemas.openxmlformats.org/officeDocument/2006/relationships/hyperlink" Target="https://store.playstation.com/zh-hant-hk/product/UP7552-CUSA59668_00-0677393234015998" TargetMode="External" /><ns0:Relationship Id="rIdWeb375" Type="http://schemas.openxmlformats.org/officeDocument/2006/relationships/hyperlink" Target="https://store.playstation.com/zh-hant-hk/product/EP7550-CUSA47641_00-0249085741355599" TargetMode="External" /><ns0:Relationship Id="rIdWeb376" Type="http://schemas.openxmlformats.org/officeDocument/2006/relationships/hyperlink" Target="https://store.playstation.com/zh-hant-hk/product/UB0573-CUSA54361_00-0613758292527461" TargetMode="External" /><ns0:Relationship Id="rIdWeb377" Type="http://schemas.openxmlformats.org/officeDocument/2006/relationships/hyperlink" Target="https://store.playstation.com/zh-hant-hk/product/EP7550-CUSA36501_00-5893827646639060" TargetMode="External" /><ns0:Relationship Id="rIdWeb378" Type="http://schemas.openxmlformats.org/officeDocument/2006/relationships/hyperlink" Target="https://store.playstation.com/zh-hant-hk/product/HP5035-PPSA28761_00-0272864766810005" TargetMode="External" /><ns0:Relationship Id="rIdWeb379" Type="http://schemas.openxmlformats.org/officeDocument/2006/relationships/hyperlink" Target="https://store.playstation.com/zh-hant-hk/product/EP7550-CUSA35969_00-4298634636022076" TargetMode="External" /><ns0:Relationship Id="rIdWeb380" Type="http://schemas.openxmlformats.org/officeDocument/2006/relationships/hyperlink" Target="https://store.playstation.com/zh-hant-hk/product/EB0719-CUSA53266_00-0833370351831037" TargetMode="External" /><ns0:Relationship Id="rIdWeb381" Type="http://schemas.openxmlformats.org/officeDocument/2006/relationships/hyperlink" Target="https://store.playstation.com/zh-hant-hk/product/UP7552-CUSA53107_00-0802455814147233" TargetMode="External" /><ns0:Relationship Id="rIdWeb382" Type="http://schemas.openxmlformats.org/officeDocument/2006/relationships/hyperlink" Target="https://store.playstation.com/zh-hant-hk/product/UP2005-PPSA27691_00-NOTICEMELEENASEN" TargetMode="External" /><ns0:Relationship Id="rIdWeb383" Type="http://schemas.openxmlformats.org/officeDocument/2006/relationships/hyperlink" Target="https://store.playstation.com/zh-hant-hk/product/HP5035-PPSA28760_00-0949411176273105" TargetMode="External" /><ns0:Relationship Id="rIdWeb384" Type="http://schemas.openxmlformats.org/officeDocument/2006/relationships/hyperlink" Target="https://store.playstation.com/zh-hant-hk/product/UP7552-PPSA36262_00-0865699949481020" TargetMode="External" /><ns0:Relationship Id="rIdWeb385" Type="http://schemas.openxmlformats.org/officeDocument/2006/relationships/hyperlink" Target="https://store.playstation.com/zh-hant-hk/product/UP7552-CUSA59777_00-0705007091822424" TargetMode="External" /><ns0:Relationship Id="rIdWeb386" Type="http://schemas.openxmlformats.org/officeDocument/2006/relationships/hyperlink" Target="https://store.playstation.com/zh-hant-hk/product/HP6670-CUSA57357_00-0553955000832448" TargetMode="External" /><ns0:Relationship Id="rIdWeb387" Type="http://schemas.openxmlformats.org/officeDocument/2006/relationships/hyperlink" Target="https://store.playstation.com/zh-hant-hk/product/EP7990-CUSA54572_00-09746719SOUNOPS4" TargetMode="External" /><ns0:Relationship Id="rIdWeb388" Type="http://schemas.openxmlformats.org/officeDocument/2006/relationships/hyperlink" Target="https://store.playstation.com/zh-hant-hk/product/UP7552-PPSA36729_00-0818631988650899" TargetMode="External" /><ns0:Relationship Id="rIdWeb389" Type="http://schemas.openxmlformats.org/officeDocument/2006/relationships/hyperlink" Target="https://store.playstation.com/zh-hant-hk/product/UB1052-CUSA56607_00-0083575626450577" TargetMode="External" /><ns0:Relationship Id="rIdWeb390" Type="http://schemas.openxmlformats.org/officeDocument/2006/relationships/hyperlink" Target="https://store.playstation.com/zh-hant-hk/product/UP7552-CUSA56519_00-0616505993138317" TargetMode="External" /><ns0:Relationship Id="rIdWeb391" Type="http://schemas.openxmlformats.org/officeDocument/2006/relationships/hyperlink" Target="https://store.playstation.com/zh-hant-hk/product/EP7550-CUSA45438_00-0643558977755970" TargetMode="External" /><ns0:Relationship Id="rIdWeb392" Type="http://schemas.openxmlformats.org/officeDocument/2006/relationships/hyperlink" Target="https://store.playstation.com/zh-hant-hk/product/UP7552-PPSA30053_00-0293384568913877" TargetMode="External" /><ns0:Relationship Id="rIdWeb393" Type="http://schemas.openxmlformats.org/officeDocument/2006/relationships/hyperlink" Target="https://store.playstation.com/zh-hant-hk/product/EP5470-CUSA43165_00-0461816392023686" TargetMode="External" /><ns0:Relationship Id="rIdWeb394" Type="http://schemas.openxmlformats.org/officeDocument/2006/relationships/hyperlink" Target="https://store.playstation.com/zh-hant-hk/product/EP7550-PPSA20281_00-0859830574445828" TargetMode="External" /><ns0:Relationship Id="rIdWeb395" Type="http://schemas.openxmlformats.org/officeDocument/2006/relationships/hyperlink" Target="https://store.playstation.com/zh-hant-hk/product/EP1629-CUSA49740_00-DREAMSCAPNHJDPS4" TargetMode="External" /><ns0:Relationship Id="rIdWeb396" Type="http://schemas.openxmlformats.org/officeDocument/2006/relationships/hyperlink" Target="https://store.playstation.com/zh-hant-hk/product/UP7552-PPSA38979_00-0633347055533957" TargetMode="External" /><ns0:Relationship Id="rIdWeb397" Type="http://schemas.openxmlformats.org/officeDocument/2006/relationships/hyperlink" Target="https://store.playstation.com/zh-hant-hk/product/UP7552-CUSA59727_00-0876532505766379" TargetMode="External" /><ns0:Relationship Id="rIdWeb398" Type="http://schemas.openxmlformats.org/officeDocument/2006/relationships/hyperlink" Target="https://store.playstation.com/zh-hant-hk/product/UB0573-CUSA57267_00-0676615163957118" TargetMode="External" /><ns0:Relationship Id="rIdWeb399" Type="http://schemas.openxmlformats.org/officeDocument/2006/relationships/hyperlink" Target="https://store.playstation.com/zh-hant-hk/product/UB0528-CUSA51720_00-0977690817225783" TargetMode="External" /><ns0:Relationship Id="rIdWeb400" Type="http://schemas.openxmlformats.org/officeDocument/2006/relationships/hyperlink" Target="https://store.playstation.com/zh-hant-hk/product/UP7552-CUSA52610_00-0957217805924606" TargetMode="External" /><ns0:Relationship Id="rIdWeb401" Type="http://schemas.openxmlformats.org/officeDocument/2006/relationships/hyperlink" Target="https://store.playstation.com/zh-hant-hk/product/UB0573-CUSA57945_00-0515419483123888" TargetMode="External" /><ns0:Relationship Id="rIdWeb402" Type="http://schemas.openxmlformats.org/officeDocument/2006/relationships/hyperlink" Target="https://store.playstation.com/zh-hant-hk/product/UP8616-CUSA55981_00-0664316167761880" TargetMode="External" /><ns0:Relationship Id="rIdWeb403" Type="http://schemas.openxmlformats.org/officeDocument/2006/relationships/hyperlink" Target="https://store.playstation.com/zh-hant-hk/product/UB0573-CUSA58198_00-0176797373949141" TargetMode="External" /><ns0:Relationship Id="rIdWeb404" Type="http://schemas.openxmlformats.org/officeDocument/2006/relationships/hyperlink" Target="https://store.playstation.com/zh-hant-hk/product/UB0528-CUSA52995_00-0345972419005314" TargetMode="External" /><ns0:Relationship Id="rIdWeb405" Type="http://schemas.openxmlformats.org/officeDocument/2006/relationships/hyperlink" Target="https://store.playstation.com/zh-hant-hk/product/UP7552-PPSA36564_00-0503021910444180" TargetMode="External" /><ns0:Relationship Id="rIdWeb406" Type="http://schemas.openxmlformats.org/officeDocument/2006/relationships/hyperlink" Target="https://store.playstation.com/zh-hant-hk/product/EP7550-CUSA43727_00-0390179513412879" TargetMode="External" /><ns0:Relationship Id="rIdWeb407" Type="http://schemas.openxmlformats.org/officeDocument/2006/relationships/hyperlink" Target="https://store.playstation.com/zh-hant-hk/product/EP6985-PPSA35925_00-0563617370999178" TargetMode="External" /><ns0:Relationship Id="rIdWeb408" Type="http://schemas.openxmlformats.org/officeDocument/2006/relationships/hyperlink" Target="https://store.playstation.com/zh-hant-hk/product/UB0528-CUSA51883_00-0551986827992026" TargetMode="External" /><ns0:Relationship Id="rIdWeb409" Type="http://schemas.openxmlformats.org/officeDocument/2006/relationships/hyperlink" Target="https://store.playstation.com/zh-hant-hk/product/UP7552-CUSA59515_00-0285139910632219" TargetMode="External" /><ns0:Relationship Id="rIdWeb410" Type="http://schemas.openxmlformats.org/officeDocument/2006/relationships/hyperlink" Target="https://store.playstation.com/zh-hant-hk/product/UP8767-PPSA28802_00-0311460923657489" TargetMode="External" /><ns0:Relationship Id="rIdWeb411" Type="http://schemas.openxmlformats.org/officeDocument/2006/relationships/hyperlink" Target="https://store.playstation.com/zh-hant-hk/product/UP8767-PPSA36598_00-0909176058890099" TargetMode="External" /><ns0:Relationship Id="rIdWeb412" Type="http://schemas.openxmlformats.org/officeDocument/2006/relationships/hyperlink" Target="https://store.playstation.com/zh-hant-hk/product/JB0500-PPSA32314_00-0589041591263793" TargetMode="External" /><ns0:Relationship Id="rIdWeb413" Type="http://schemas.openxmlformats.org/officeDocument/2006/relationships/hyperlink" Target="https://ca.investing.com/currencies/hkd-cny-historical-data" TargetMode="External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fb5b7ead439a45d5" /><ns0:Relationship Id="rIdWeb1" Type="http://schemas.openxmlformats.org/officeDocument/2006/relationships/hyperlink" Target="https://store.playstation.com/zh-hant-hk/product/HP0700-CUSA07163_00-ASIAFULLGAME0000" TargetMode="External" /><ns0:Relationship Id="rIdWeb2" Type="http://schemas.openxmlformats.org/officeDocument/2006/relationships/hyperlink" Target="https://store.playstation.com/zh-hant-hk/product/HP0102-CUSA09431_00-ASIAPLACEHOLDER0" TargetMode="External" /><ns0:Relationship Id="rIdWeb3" Type="http://schemas.openxmlformats.org/officeDocument/2006/relationships/hyperlink" Target="https://store.playstation.com/zh-hant-hk/product/HP0700-CUSA11962_00-0000000000000000" TargetMode="External" /><ns0:Relationship Id="rIdWeb4" Type="http://schemas.openxmlformats.org/officeDocument/2006/relationships/hyperlink" Target="https://store.playstation.com/zh-hant-hk/product/EP4361-PPSA16214_00-0000000000INDIKA" TargetMode="External" /><ns0:Relationship Id="rIdWeb5" Type="http://schemas.openxmlformats.org/officeDocument/2006/relationships/hyperlink" Target="https://store.playstation.com/zh-hant-hk/product/HP0082-CUSA01757_00-0000SLEEPINGDOGS" TargetMode="External" /><ns0:Relationship Id="rIdWeb6" Type="http://schemas.openxmlformats.org/officeDocument/2006/relationships/hyperlink" Target="https://store.playstation.com/zh-hant-hk/product/UP1018-PPSA01695_00-BACK4BLOOD000000" TargetMode="External" /><ns0:Relationship Id="rIdWeb7" Type="http://schemas.openxmlformats.org/officeDocument/2006/relationships/hyperlink" Target="https://store.playstation.com/zh-hant-hk/product/UP1018-PPSA02182_00-SUICIDESQUADKTJL" TargetMode="External" /><ns0:Relationship Id="rIdWeb8" Type="http://schemas.openxmlformats.org/officeDocument/2006/relationships/hyperlink" Target="https://store.playstation.com/zh-hant-hk/product/UP1018-PPSA01695_00-BACK4BLOODDELUXE" TargetMode="External" /><ns0:Relationship Id="rIdWeb9" Type="http://schemas.openxmlformats.org/officeDocument/2006/relationships/hyperlink" Target="https://store.playstation.com/zh-hant-hk/product/UP2054-CUSA05297_00-INSIDE0000000000" TargetMode="External" /><ns0:Relationship Id="rIdWeb10" Type="http://schemas.openxmlformats.org/officeDocument/2006/relationships/hyperlink" Target="https://store.playstation.com/zh-hant-hk/product/HP1003-CUSA09363_00-ASIAPLACEHOLDER0" TargetMode="External" /><ns0:Relationship Id="rIdWeb11" Type="http://schemas.openxmlformats.org/officeDocument/2006/relationships/hyperlink" Target="https://store.playstation.com/zh-hant-hk/product/UP0177-CUSA07023_00-ASIAPLACEHOLDER0" TargetMode="External" /><ns0:Relationship Id="rIdWeb12" Type="http://schemas.openxmlformats.org/officeDocument/2006/relationships/hyperlink" Target="https://store.playstation.com/zh-hant-hk/product/HP1003-CUSA09021_00-COLOSSUSFULLGAME" TargetMode="External" /><ns0:Relationship Id="rIdWeb13" Type="http://schemas.openxmlformats.org/officeDocument/2006/relationships/hyperlink" Target="https://store.playstation.com/zh-hant-hk/product/UP1018-CUSA05462_00-ASIA000000000000" TargetMode="External" /><ns0:Relationship Id="rIdWeb14" Type="http://schemas.openxmlformats.org/officeDocument/2006/relationships/hyperlink" Target="https://store.playstation.com/zh-hant-hk/product/UP1018-PPSA01617_00-00MORTALKOMBAT11" TargetMode="External" /><ns0:Relationship Id="rIdWeb15" Type="http://schemas.openxmlformats.org/officeDocument/2006/relationships/hyperlink" Target="https://store.playstation.com/zh-hant-hk/product/EP4008-CUSA13152_00-THESINKINGCITYUA" TargetMode="External" /><ns0:Relationship Id="rIdWeb16" Type="http://schemas.openxmlformats.org/officeDocument/2006/relationships/hyperlink" Target="https://store.playstation.com/zh-hant-hk/product/HP0177-CUSA08984_00-ASIAPLACEHOLDER0" TargetMode="External" /><ns0:Relationship Id="rIdWeb17" Type="http://schemas.openxmlformats.org/officeDocument/2006/relationships/hyperlink" Target="https://store.playstation.com/zh-hant-hk/product/UP3643-PPSA10122_00-RTMIPS5SIEA00000" TargetMode="External" /><ns0:Relationship Id="rIdWeb18" Type="http://schemas.openxmlformats.org/officeDocument/2006/relationships/hyperlink" Target="https://store.playstation.com/zh-hant-hk/product/UP0102-CUSA11300_00-ASIAFULLGAME0000" TargetMode="External" /><ns0:Relationship Id="rIdWeb19" Type="http://schemas.openxmlformats.org/officeDocument/2006/relationships/hyperlink" Target="https://store.playstation.com/zh-hant-hk/product/UP3864-CUSA27737_00-DODGEBALLACA000A" TargetMode="External" /><ns0:Relationship Id="rIdWeb20" Type="http://schemas.openxmlformats.org/officeDocument/2006/relationships/hyperlink" Target="https://store.playstation.com/zh-hant-hk/product/HP0700-PPSA09788_00-DBPROJECTZGOKU18" TargetMode="External" /><ns0:Relationship Id="rIdWeb21" Type="http://schemas.openxmlformats.org/officeDocument/2006/relationships/hyperlink" Target="https://store.playstation.com/zh-hant-hk/product/EP0700-CUSA13079_00-ASIAKUNIWOTWW000" TargetMode="External" /><ns0:Relationship Id="rIdWeb22" Type="http://schemas.openxmlformats.org/officeDocument/2006/relationships/hyperlink" Target="https://store.playstation.com/zh-hant-hk/product/HP5028-PPSA02215_00-LITTLENIGHTS2000" TargetMode="External" /><ns0:Relationship Id="rIdWeb23" Type="http://schemas.openxmlformats.org/officeDocument/2006/relationships/hyperlink" Target="https://store.playstation.com/zh-hant-hk/product/UP3643-PPSA31872_00-0512776704708419" TargetMode="External" /><ns0:Relationship Id="rIdWeb24" Type="http://schemas.openxmlformats.org/officeDocument/2006/relationships/hyperlink" Target="https://store.playstation.com/zh-hant-hk/product/UP1018-CUSA04601_00-ASIA000000000000" TargetMode="External" /><ns0:Relationship Id="rIdWeb25" Type="http://schemas.openxmlformats.org/officeDocument/2006/relationships/hyperlink" Target="https://store.playstation.com/zh-hant-hk/product/HP1018-CUSA09065_00-LEGONINJAGOMOVIE" TargetMode="External" /><ns0:Relationship Id="rIdWeb26" Type="http://schemas.openxmlformats.org/officeDocument/2006/relationships/hyperlink" Target="https://store.playstation.com/zh-hant-hk/product/HP1018-CUSA11774_00-ASIAPLACEHOLDER0" TargetMode="External" /><ns0:Relationship Id="rIdWeb27" Type="http://schemas.openxmlformats.org/officeDocument/2006/relationships/hyperlink" Target="https://store.playstation.com/zh-hant-hk/product/EP4133-PPSA02387_00-APLAGUETALEGAME0" TargetMode="External" /><ns0:Relationship Id="rIdWeb28" Type="http://schemas.openxmlformats.org/officeDocument/2006/relationships/hyperlink" Target="https://store.playstation.com/zh-hant-hk/product/EP7579-CUSA42062_00-CATQUESTTRILOGY0" TargetMode="External" /><ns0:Relationship Id="rIdWeb29" Type="http://schemas.openxmlformats.org/officeDocument/2006/relationships/hyperlink" Target="https://store.playstation.com/zh-hant-hk/product/EP4062-PPSA03099_00-DI2MAINSIEEPS500" TargetMode="External" /><ns0:Relationship Id="rIdWeb30" Type="http://schemas.openxmlformats.org/officeDocument/2006/relationships/hyperlink" Target="https://store.playstation.com/zh-hant-hk/product/EP4064-PPSA22788_00-0730433160080781" TargetMode="External" /><ns0:Relationship Id="rIdWeb31" Type="http://schemas.openxmlformats.org/officeDocument/2006/relationships/hyperlink" Target="https://store.playstation.com/zh-hant-hk/product/EP6960-PPSA03260_00-1010499476640141" TargetMode="External" /><ns0:Relationship Id="rIdWeb32" Type="http://schemas.openxmlformats.org/officeDocument/2006/relationships/hyperlink" Target="https://store.playstation.com/zh-hant-hk/product/EP4064-PPSA09076_00-0353469669820048" TargetMode="External" /><ns0:Relationship Id="rIdWeb33" Type="http://schemas.openxmlformats.org/officeDocument/2006/relationships/hyperlink" Target="https://store.playstation.com/zh-hant-hk/product/EP7579-PPSA07385_00-FLOCKDX0000PS5EU" TargetMode="External" /><ns0:Relationship Id="rIdWeb34" Type="http://schemas.openxmlformats.org/officeDocument/2006/relationships/hyperlink" Target="https://store.playstation.com/zh-hant-hk/product/EP0001-CUSA05264_00-FHGOLD0000000000" TargetMode="External" /><ns0:Relationship Id="rIdWeb35" Type="http://schemas.openxmlformats.org/officeDocument/2006/relationships/hyperlink" Target="https://store.playstation.com/zh-hant-hk/product/EP6468-PPSA21629_00-0323454533773134" TargetMode="External" /><ns0:Relationship Id="rIdWeb36" Type="http://schemas.openxmlformats.org/officeDocument/2006/relationships/hyperlink" Target="https://store.playstation.com/zh-hant-hk/product/EP0096-PPSA35154_00-HNREMASTERED0000" TargetMode="External" /><ns0:Relationship Id="rIdWeb37" Type="http://schemas.openxmlformats.org/officeDocument/2006/relationships/hyperlink" Target="https://store.playstation.com/zh-hant-hk/product/EP0114-CUSA14538_00-MANEATER00000001" TargetMode="External" /><ns0:Relationship Id="rIdWeb38" Type="http://schemas.openxmlformats.org/officeDocument/2006/relationships/hyperlink" Target="https://store.playstation.com/zh-hant-hk/product/EP4062-PPSA16211_00-METALEDENPS5SIEE" TargetMode="External" /><ns0:Relationship Id="rIdWeb39" Type="http://schemas.openxmlformats.org/officeDocument/2006/relationships/hyperlink" Target="https://store.playstation.com/zh-hant-hk/product/EP0001-PPSA17419_00-GAME000000000000" TargetMode="External" /><ns0:Relationship Id="rIdWeb40" Type="http://schemas.openxmlformats.org/officeDocument/2006/relationships/hyperlink" Target="https://store.playstation.com/zh-hant-hk/product/EP6973-PPSA14218_00-M000000000000026" TargetMode="External" /><ns0:Relationship Id="rIdWeb41" Type="http://schemas.openxmlformats.org/officeDocument/2006/relationships/hyperlink" Target="https://store.playstation.com/zh-hant-hk/product/EP6973-PPSA14218_00-M000000000000030" TargetMode="External" /><ns0:Relationship Id="rIdWeb42" Type="http://schemas.openxmlformats.org/officeDocument/2006/relationships/hyperlink" Target="https://store.playstation.com/zh-hant-hk/product/EP4062-PPSA02807_00-SRGOLD000000SIEE" TargetMode="External" /><ns0:Relationship Id="rIdWeb43" Type="http://schemas.openxmlformats.org/officeDocument/2006/relationships/hyperlink" Target="https://store.playstation.com/zh-hant-hk/product/EP0096-CUSA25165_00-0482907501575646" TargetMode="External" /><ns0:Relationship Id="rIdWeb44" Type="http://schemas.openxmlformats.org/officeDocument/2006/relationships/hyperlink" Target="https://store.playstation.com/zh-hant-hk/product/EP5205-PPSA01978_00-SHCODELUXE000000" TargetMode="External" /><ns0:Relationship Id="rIdWeb45" Type="http://schemas.openxmlformats.org/officeDocument/2006/relationships/hyperlink" Target="https://store.playstation.com/zh-hant-hk/product/UB0652-PPSA21407_00-0203673753469092" TargetMode="External" /><ns0:Relationship Id="rIdWeb46" Type="http://schemas.openxmlformats.org/officeDocument/2006/relationships/hyperlink" Target="https://store.playstation.com/zh-hant-hk/product/EP0001-CUSA08609_00-TC2GOLD200000000" TargetMode="External" /><ns0:Relationship Id="rIdWeb47" Type="http://schemas.openxmlformats.org/officeDocument/2006/relationships/hyperlink" Target="https://store.playstation.com/zh-hant-hk/product/EP0001-CUSA08609_00-TC2SPECIAL000000" TargetMode="External" /><ns0:Relationship Id="rIdWeb48" Type="http://schemas.openxmlformats.org/officeDocument/2006/relationships/hyperlink" Target="https://store.playstation.com/zh-hant-hk/product/EP4361-PPSA13245_00-THETHAUMATURGE00" TargetMode="External" /><ns0:Relationship Id="rIdWeb49" Type="http://schemas.openxmlformats.org/officeDocument/2006/relationships/hyperlink" Target="https://store.playstation.com/zh-hant-hk/product/EB0324-PPSA21703_00-0027916840515656" TargetMode="External" /><ns0:Relationship Id="rIdWeb50" Type="http://schemas.openxmlformats.org/officeDocument/2006/relationships/hyperlink" Target="https://store.playstation.com/zh-hant-hk/product/EP6646-PPSA15678_00-VOIDOFSHADOWSPS5" TargetMode="External" /><ns0:Relationship Id="rIdWeb51" Type="http://schemas.openxmlformats.org/officeDocument/2006/relationships/hyperlink" Target="https://store.playstation.com/zh-hant-hk/product/UP4108-PPSA25843_00-WARRIORSABYSS000" TargetMode="External" /><ns0:Relationship Id="rIdWeb52" Type="http://schemas.openxmlformats.org/officeDocument/2006/relationships/hyperlink" Target="https://store.playstation.com/zh-hant-hk/product/EP4291-PPSA16357_00-THEHUNTGAME00074" TargetMode="External" /><ns0:Relationship Id="rIdWeb53" Type="http://schemas.openxmlformats.org/officeDocument/2006/relationships/hyperlink" Target="https://store.playstation.com/zh-hant-hk/product/EP4291-PPSA16357_00-THEHUNTGAME00076" TargetMode="External" /><ns0:Relationship Id="rIdWeb54" Type="http://schemas.openxmlformats.org/officeDocument/2006/relationships/hyperlink" Target="https://store.playstation.com/zh-hant-hk/product/EP4133-PPSA09741_00-SANDSTORMDELUXED" TargetMode="External" /><ns0:Relationship Id="rIdWeb55" Type="http://schemas.openxmlformats.org/officeDocument/2006/relationships/hyperlink" Target="https://store.playstation.com/zh-hant-hk/product/EP2377-PPSA03286_00-JWEVOLUTION2AAAA" TargetMode="External" /><ns0:Relationship Id="rIdWeb56" Type="http://schemas.openxmlformats.org/officeDocument/2006/relationships/hyperlink" Target="https://store.playstation.com/zh-hant-hk/product/EP0114-CUSA05179_00-KFGAME0000000001" TargetMode="External" /><ns0:Relationship Id="rIdWeb57" Type="http://schemas.openxmlformats.org/officeDocument/2006/relationships/hyperlink" Target="https://store.playstation.com/zh-hant-hk/product/EP4321-CUSA20373_00-8293343774348521" TargetMode="External" /><ns0:Relationship Id="rIdWeb58" Type="http://schemas.openxmlformats.org/officeDocument/2006/relationships/hyperlink" Target="https://store.playstation.com/zh-hant-hk/product/EP4321-CUSA20373_00-SGWCONTRACTS2001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0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5.329999923706055" hidden="0" customWidth="1"/>
    <col min="2" max="2" width="38.88999938964844" hidden="0" customWidth="1"/>
    <col min="3" max="3" width="12.220000267028809" hidden="0" customWidth="1"/>
    <col min="4" max="4" width="10.220000267028809" hidden="0" customWidth="1"/>
    <col min="5" max="5" width="10.220000267028809" hidden="0" customWidth="1"/>
    <col min="6" max="6" width="10" hidden="0" customWidth="1"/>
    <col min="7" max="7" width="11.109999656677246" hidden="0" customWidth="1"/>
    <col min="8" max="8" width="10.5600004196167" hidden="0" customWidth="1"/>
    <col min="9" max="9" width="11.109999656677246" hidden="0" customWidth="1"/>
    <col min="10" max="10" width="17.780000686645508" hidden="0" customWidth="1"/>
    <col min="11" max="11" width="13.329999923706055" hidden="0" customWidth="1"/>
    <col min="12" max="12" width="11.109999656677246" hidden="0" customWidth="1"/>
    <col min="13" max="13" width="48.88999938964844" hidden="0" customWidth="1"/>
  </cols>
  <sheetData>
    <row r="1" ht="29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9" customHeight="1">
      <c r="A2" s="4" t="str">
        <v>港服折扣游戏 · 人民币100元以下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2"/>
    </row>
    <row r="3" ht="29" customHeight="1">
      <c r="A3" s="2" t="str">
        <v>412项候选；按评价人数排序。新增核查TGS目录685项中的预算内商品；非港服全促销目录。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29" customHeight="1">
      <c r="A4" s="2" t="str">
        <v>汇率</v>
      </c>
      <c r="B4" s="7" t="n">
        <v>0.8557</v>
      </c>
      <c r="C4" s="2" t="str">
        <v>人民币/港币</v>
      </c>
      <c r="D4" s="2" t="str">
        <v>核验日期</v>
      </c>
      <c r="E4" s="8" t="n">
        <v>46281</v>
      </c>
      <c r="F4" s="2"/>
      <c r="G4" s="9" t="str">
        <v>汇率来源</v>
      </c>
      <c r="H4" s="2"/>
      <c r="I4" s="2"/>
      <c r="J4" s="2"/>
      <c r="K4" s="2"/>
      <c r="L4" s="2"/>
      <c r="M4" s="2"/>
    </row>
    <row r="5" ht="29" customHeight="1">
      <c r="A5" s="2" t="str">
        <v>按9月10日同步的334条奖杯记录排除已玩；9月11日后新增游玩可能漏排。已买但未玩未排除。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ht="29" customHeight="1">
      <c r="A6" s="2" t="str">
        <v>二档依据核验时港服商品页权益；EA Play与高档限时试玩另注。人民币为估算，未计支付手续费。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ht="32" customHeight="1">
      <c r="A7" s="12" t="str">
        <v>序号</v>
      </c>
      <c r="B7" s="12" t="str">
        <v>游戏 / 版本</v>
      </c>
      <c r="C7" s="12" t="str">
        <v>平台</v>
      </c>
      <c r="D7" s="12" t="str">
        <v>约人民币</v>
      </c>
      <c r="E7" s="12" t="str">
        <v>折后港币</v>
      </c>
      <c r="F7" s="12" t="str">
        <v>降价幅度</v>
      </c>
      <c r="G7" s="12" t="str">
        <v>中文支持</v>
      </c>
      <c r="H7" s="12" t="str">
        <v>PS评分 / 5</v>
      </c>
      <c r="I7" s="12" t="str">
        <v>评价人数</v>
      </c>
      <c r="J7" s="12" t="str">
        <v>截止（北京时间）</v>
      </c>
      <c r="K7" s="12" t="str">
        <v>二档权益</v>
      </c>
      <c r="L7" s="12" t="str">
        <v>港服链接</v>
      </c>
      <c r="M7" s="12" t="str">
        <v>版本 / 权益备注</v>
      </c>
    </row>
    <row r="8" ht="36" customHeight="1">
      <c r="A8" s="55" t="n">
        <v>1</v>
      </c>
      <c r="B8" s="28" t="str">
        <v>使命召唤：黑色行动3 僵尸编年史版</v>
      </c>
      <c r="C8" s="57" t="str">
        <v>PS4</v>
      </c>
      <c r="D8" s="30" t="n">
        <f>ROUND(E8*$B$4,2)</f>
        <v>99.48</v>
      </c>
      <c r="E8" s="31" t="n">
        <v>116.25</v>
      </c>
      <c r="F8" s="32" t="n">
        <v>0.75</v>
      </c>
      <c r="G8" s="57" t="str">
        <v>有中文</v>
      </c>
      <c r="H8" s="31" t="n">
        <v>4.44</v>
      </c>
      <c r="I8" s="33" t="n">
        <v>385109</v>
      </c>
      <c r="J8" s="34" t="n">
        <v>46288.95763888889</v>
      </c>
      <c r="K8" s="57" t="str">
        <v>未显示收录</v>
      </c>
      <c r="L8" s="59" t="str">
        <v>查看港服</v>
      </c>
      <c r="M8" s="63" t="str">
        <v>约 ¥99.48，接近预算上限</v>
      </c>
    </row>
    <row r="9" ht="36" customHeight="1">
      <c r="A9" s="56" t="n">
        <v>2</v>
      </c>
      <c r="B9" s="46" t="str">
        <v>使命召唤：无限战争</v>
      </c>
      <c r="C9" s="58" t="str">
        <v>PS4</v>
      </c>
      <c r="D9" s="48" t="n">
        <f>ROUND(E9*$B$4,2)</f>
        <v>91.56</v>
      </c>
      <c r="E9" s="49" t="n">
        <v>107</v>
      </c>
      <c r="F9" s="50" t="n">
        <v>0.75</v>
      </c>
      <c r="G9" s="58" t="str">
        <v>有中文</v>
      </c>
      <c r="H9" s="49" t="n">
        <v>3.83</v>
      </c>
      <c r="I9" s="51" t="n">
        <v>295835</v>
      </c>
      <c r="J9" s="52" t="n">
        <v>46288.95763888889</v>
      </c>
      <c r="K9" s="58" t="str">
        <v>未显示收录</v>
      </c>
      <c r="L9" s="60" t="str">
        <v>查看港服</v>
      </c>
      <c r="M9" s="64" t="str"/>
    </row>
    <row r="10" ht="36" customHeight="1">
      <c r="A10" s="55" t="n">
        <v>3</v>
      </c>
      <c r="B10" s="28" t="str">
        <v>战地1：革命版</v>
      </c>
      <c r="C10" s="57" t="str">
        <v>PS4</v>
      </c>
      <c r="D10" s="30" t="n">
        <f>ROUND(E10*$B$4,2)</f>
        <v>53.05</v>
      </c>
      <c r="E10" s="31" t="n">
        <v>62</v>
      </c>
      <c r="F10" s="32" t="n">
        <v>0.8</v>
      </c>
      <c r="G10" s="57" t="str">
        <v>有中文</v>
      </c>
      <c r="H10" s="31" t="n">
        <v>4.51</v>
      </c>
      <c r="I10" s="33" t="n">
        <v>182674</v>
      </c>
      <c r="J10" s="34" t="n">
        <v>46288.95763888889</v>
      </c>
      <c r="K10" s="57" t="str">
        <v>未显示收录</v>
      </c>
      <c r="L10" s="59" t="str">
        <v>查看港服</v>
      </c>
      <c r="M10" s="63" t="str">
        <v>另有 EA Play 权益</v>
      </c>
    </row>
    <row r="11" ht="36" customHeight="1">
      <c r="A11" s="56" t="n">
        <v>4</v>
      </c>
      <c r="B11" s="46" t="str">
        <v>泰坦陨落2：标准版</v>
      </c>
      <c r="C11" s="58" t="str">
        <v>PS4</v>
      </c>
      <c r="D11" s="48" t="n">
        <f>ROUND(E11*$B$4,2)</f>
        <v>34.23</v>
      </c>
      <c r="E11" s="49" t="n">
        <v>40</v>
      </c>
      <c r="F11" s="50" t="n">
        <v>0.75</v>
      </c>
      <c r="G11" s="58" t="str">
        <v>有中文</v>
      </c>
      <c r="H11" s="49" t="n">
        <v>4.58</v>
      </c>
      <c r="I11" s="51" t="n">
        <v>132423</v>
      </c>
      <c r="J11" s="52" t="n">
        <v>46288.95763888889</v>
      </c>
      <c r="K11" s="58" t="str">
        <v>未显示收录</v>
      </c>
      <c r="L11" s="60" t="str">
        <v>查看港服</v>
      </c>
      <c r="M11" s="64" t="str">
        <v>另有 EA Play 权益；此价为标准版</v>
      </c>
    </row>
    <row r="12" ht="36" customHeight="1">
      <c r="A12" s="55" t="n">
        <v>5</v>
      </c>
      <c r="B12" s="28" t="str">
        <v>火影忍者博人传：新忍出击</v>
      </c>
      <c r="C12" s="57" t="str">
        <v>PS4</v>
      </c>
      <c r="D12" s="30" t="n">
        <f>ROUND(E12*$B$4,2)</f>
        <v>12.75</v>
      </c>
      <c r="E12" s="31" t="n">
        <v>14.9</v>
      </c>
      <c r="F12" s="32" t="n">
        <v>0.9</v>
      </c>
      <c r="G12" s="57" t="str">
        <v>简繁中文</v>
      </c>
      <c r="H12" s="31" t="n">
        <v>4.01</v>
      </c>
      <c r="I12" s="33" t="n">
        <v>111661</v>
      </c>
      <c r="J12" s="34" t="n">
        <v>46288.95763888889</v>
      </c>
      <c r="K12" s="57" t="str">
        <v>未显示收录</v>
      </c>
      <c r="L12" s="59" t="str">
        <v>查看港服</v>
      </c>
      <c r="M12" s="63" t="str"/>
    </row>
    <row r="13" ht="36" customHeight="1">
      <c r="A13" s="56" t="n">
        <v>6</v>
      </c>
      <c r="B13" s="46" t="str">
        <v>真人快打11：终极版</v>
      </c>
      <c r="C13" s="58" t="str">
        <v>PS4 / PS5</v>
      </c>
      <c r="D13" s="48" t="n">
        <f>ROUND(E13*$B$4,2)</f>
        <v>40.05</v>
      </c>
      <c r="E13" s="49" t="n">
        <v>46.8</v>
      </c>
      <c r="F13" s="50" t="n">
        <v>0.9</v>
      </c>
      <c r="G13" s="58" t="str">
        <v>简体中文</v>
      </c>
      <c r="H13" s="49" t="n">
        <v>4.48</v>
      </c>
      <c r="I13" s="51" t="n">
        <v>108976</v>
      </c>
      <c r="J13" s="52" t="n">
        <v>46288.95763888889</v>
      </c>
      <c r="K13" s="58" t="str">
        <v>未显示收录</v>
      </c>
      <c r="L13" s="60" t="str">
        <v>查看港服</v>
      </c>
      <c r="M13" s="64" t="str"/>
    </row>
    <row r="14" ht="36" customHeight="1">
      <c r="A14" s="55" t="n">
        <v>7</v>
      </c>
      <c r="B14" s="28" t="str">
        <v>龙珠斗士Z：FighterZ版</v>
      </c>
      <c r="C14" s="57" t="str">
        <v>PS4 / PS5</v>
      </c>
      <c r="D14" s="30" t="n">
        <f>ROUND(E14*$B$4,2)</f>
        <v>40.94</v>
      </c>
      <c r="E14" s="31" t="n">
        <v>47.84</v>
      </c>
      <c r="F14" s="32" t="n">
        <v>0.84</v>
      </c>
      <c r="G14" s="57" t="str">
        <v>简繁中文</v>
      </c>
      <c r="H14" s="31" t="n">
        <v>4.34</v>
      </c>
      <c r="I14" s="33" t="n">
        <v>63644</v>
      </c>
      <c r="J14" s="34" t="n">
        <v>46288.95763888889</v>
      </c>
      <c r="K14" s="57" t="str">
        <v>未显示收录</v>
      </c>
      <c r="L14" s="59" t="str">
        <v>查看港服</v>
      </c>
      <c r="M14" s="63" t="str">
        <v>此价为 FighterZ 版，非标准版</v>
      </c>
    </row>
    <row r="15" ht="36" customHeight="1">
      <c r="A15" s="56" t="n">
        <v>8</v>
      </c>
      <c r="B15" s="46" t="str">
        <v>小小梦魇2：豪华版</v>
      </c>
      <c r="C15" s="58" t="str">
        <v>PS4 / PS5</v>
      </c>
      <c r="D15" s="48" t="n">
        <f>ROUND(E15*$B$4,2)</f>
        <v>61.35</v>
      </c>
      <c r="E15" s="49" t="n">
        <v>71.7</v>
      </c>
      <c r="F15" s="50" t="n">
        <v>0.7</v>
      </c>
      <c r="G15" s="58" t="str">
        <v>简繁中文</v>
      </c>
      <c r="H15" s="49" t="n">
        <v>4.55</v>
      </c>
      <c r="I15" s="51" t="n">
        <v>40134</v>
      </c>
      <c r="J15" s="52" t="n">
        <v>46288.95763888889</v>
      </c>
      <c r="K15" s="58" t="str">
        <v>未显示收录</v>
      </c>
      <c r="L15" s="60" t="str">
        <v>查看港服</v>
      </c>
      <c r="M15" s="64" t="str">
        <v>豪华版在打折，标准版当前未打折</v>
      </c>
    </row>
    <row r="16" ht="36" customHeight="1">
      <c r="A16" s="55" t="n">
        <v>9</v>
      </c>
      <c r="B16" s="28" t="str">
        <v>PAYDAY 2: CRIMEWAVE EDITION</v>
      </c>
      <c r="C16" s="57" t="str">
        <v>PS4</v>
      </c>
      <c r="D16" s="30" t="n">
        <f>ROUND(E16*$B$4,2)</f>
        <v>22.76</v>
      </c>
      <c r="E16" s="31" t="n">
        <v>26.6</v>
      </c>
      <c r="F16" s="32" t="n">
        <v>0.8</v>
      </c>
      <c r="G16" s="57" t="str">
        <v>未列中文</v>
      </c>
      <c r="H16" s="31" t="n">
        <v>4.29</v>
      </c>
      <c r="I16" s="33" t="n">
        <v>38925</v>
      </c>
      <c r="J16" s="34" t="n">
        <v>46288.95763888889</v>
      </c>
      <c r="K16" s="57" t="str">
        <v>未显示收录</v>
      </c>
      <c r="L16" s="59" t="str">
        <v>查看港服</v>
      </c>
      <c r="M16" s="63" t="str"/>
    </row>
    <row r="17" ht="36" customHeight="1">
      <c r="A17" s="56" t="n">
        <v>10</v>
      </c>
      <c r="B17" s="46" t="str">
        <v>自杀小队：消灭正义联盟 豪华版</v>
      </c>
      <c r="C17" s="58" t="str">
        <v>PS5</v>
      </c>
      <c r="D17" s="48" t="n">
        <f>ROUND(E17*$B$4,2)</f>
        <v>66.74</v>
      </c>
      <c r="E17" s="49" t="n">
        <v>78</v>
      </c>
      <c r="F17" s="50" t="n">
        <v>0.9</v>
      </c>
      <c r="G17" s="58" t="str">
        <v>简繁中文</v>
      </c>
      <c r="H17" s="49" t="n">
        <v>3.2</v>
      </c>
      <c r="I17" s="51" t="n">
        <v>37022</v>
      </c>
      <c r="J17" s="52" t="n">
        <v>46288.95763888889</v>
      </c>
      <c r="K17" s="58" t="str">
        <v>未显示收录</v>
      </c>
      <c r="L17" s="60" t="str">
        <v>查看港服</v>
      </c>
      <c r="M17" s="64" t="str">
        <v>豪华版；高档试玩非二档收录</v>
      </c>
    </row>
    <row r="18" ht="36" customHeight="1">
      <c r="A18" s="55" t="n">
        <v>11</v>
      </c>
      <c r="B18" s="28" t="str">
        <v>生化危机5</v>
      </c>
      <c r="C18" s="57" t="str">
        <v>PS4</v>
      </c>
      <c r="D18" s="30" t="n">
        <f>ROUND(E18*$B$4,2)</f>
        <v>33.37</v>
      </c>
      <c r="E18" s="31" t="n">
        <v>39</v>
      </c>
      <c r="F18" s="32" t="n">
        <v>0.75</v>
      </c>
      <c r="G18" s="57" t="str">
        <v>有中文</v>
      </c>
      <c r="H18" s="31" t="n">
        <v>4.55</v>
      </c>
      <c r="I18" s="33" t="n">
        <v>36533</v>
      </c>
      <c r="J18" s="34" t="n">
        <v>46288.95763888889</v>
      </c>
      <c r="K18" s="57" t="str">
        <v>未显示收录</v>
      </c>
      <c r="L18" s="59" t="str">
        <v>查看港服</v>
      </c>
      <c r="M18" s="63" t="str"/>
    </row>
    <row r="19" ht="36" customHeight="1">
      <c r="A19" s="56" t="n">
        <v>12</v>
      </c>
      <c r="B19" s="46" t="str">
        <v>Lords of the Fallen Deluxe Edition</v>
      </c>
      <c r="C19" s="58" t="str">
        <v>PS5</v>
      </c>
      <c r="D19" s="48" t="n">
        <f>ROUND(E19*$B$4,2)</f>
        <v>65.89</v>
      </c>
      <c r="E19" s="49" t="n">
        <v>77</v>
      </c>
      <c r="F19" s="50" t="n">
        <v>0.75</v>
      </c>
      <c r="G19" s="58" t="str">
        <v>简繁中文</v>
      </c>
      <c r="H19" s="49" t="n">
        <v>3.81</v>
      </c>
      <c r="I19" s="51" t="n">
        <v>34799</v>
      </c>
      <c r="J19" s="52" t="n">
        <v>46288.95763888889</v>
      </c>
      <c r="K19" s="58" t="str">
        <v>未显示收录</v>
      </c>
      <c r="L19" s="60" t="str">
        <v>查看港服</v>
      </c>
      <c r="M19" s="64" t="str">
        <v>另有限时试玩</v>
      </c>
    </row>
    <row r="20" ht="36" customHeight="1">
      <c r="A20" s="55" t="n">
        <v>13</v>
      </c>
      <c r="B20" s="28" t="str">
        <v>鬼泣4：特别版</v>
      </c>
      <c r="C20" s="57" t="str">
        <v>PS4</v>
      </c>
      <c r="D20" s="30" t="n">
        <f>ROUND(E20*$B$4,2)</f>
        <v>50.83</v>
      </c>
      <c r="E20" s="31" t="n">
        <v>59.4</v>
      </c>
      <c r="F20" s="32" t="n">
        <v>0.7</v>
      </c>
      <c r="G20" s="57" t="str">
        <v>有中文</v>
      </c>
      <c r="H20" s="31" t="n">
        <v>4.73</v>
      </c>
      <c r="I20" s="33" t="n">
        <v>30208</v>
      </c>
      <c r="J20" s="34" t="n">
        <v>46288.95763888889</v>
      </c>
      <c r="K20" s="57" t="str">
        <v>未显示收录</v>
      </c>
      <c r="L20" s="59" t="str">
        <v>查看港服</v>
      </c>
      <c r="M20" s="63" t="str"/>
    </row>
    <row r="21" ht="36" customHeight="1">
      <c r="A21" s="56" t="n">
        <v>14</v>
      </c>
      <c r="B21" s="46" t="str">
        <v>Sea of Thieves</v>
      </c>
      <c r="C21" s="58" t="str">
        <v>PS5</v>
      </c>
      <c r="D21" s="48" t="n">
        <f>ROUND(E21*$B$4,2)</f>
        <v>92.24</v>
      </c>
      <c r="E21" s="49" t="n">
        <v>107.8</v>
      </c>
      <c r="F21" s="50" t="n">
        <v>0.65</v>
      </c>
      <c r="G21" s="58" t="str">
        <v>简繁中文</v>
      </c>
      <c r="H21" s="49" t="n">
        <v>4.1</v>
      </c>
      <c r="I21" s="51" t="n">
        <v>24539</v>
      </c>
      <c r="J21" s="52" t="n">
        <v>46288.95763888889</v>
      </c>
      <c r="K21" s="58" t="str">
        <v>未显示收录</v>
      </c>
      <c r="L21" s="60" t="str">
        <v>查看港服</v>
      </c>
      <c r="M21" s="64" t="str"/>
    </row>
    <row r="22" ht="36" customHeight="1">
      <c r="A22" s="55" t="n">
        <v>15</v>
      </c>
      <c r="B22" s="28" t="str">
        <v>乐高星球大战：原力觉醒 豪华版</v>
      </c>
      <c r="C22" s="57" t="str">
        <v>PS4</v>
      </c>
      <c r="D22" s="30" t="n">
        <f>ROUND(E22*$B$4,2)</f>
        <v>35.89</v>
      </c>
      <c r="E22" s="31" t="n">
        <v>41.94</v>
      </c>
      <c r="F22" s="32" t="n">
        <v>0.91</v>
      </c>
      <c r="G22" s="57" t="str">
        <v>有中文</v>
      </c>
      <c r="H22" s="31" t="n">
        <v>4.17</v>
      </c>
      <c r="I22" s="33" t="n">
        <v>21191</v>
      </c>
      <c r="J22" s="34" t="n">
        <v>46288.95763888889</v>
      </c>
      <c r="K22" s="57" t="str">
        <v>未显示收录</v>
      </c>
      <c r="L22" s="59" t="str">
        <v>查看港服</v>
      </c>
      <c r="M22" s="63" t="str"/>
    </row>
    <row r="23" ht="36" customHeight="1">
      <c r="A23" s="56" t="n">
        <v>16</v>
      </c>
      <c r="B23" s="46" t="str">
        <v>地铁2033 Redux</v>
      </c>
      <c r="C23" s="58" t="str">
        <v>PS4</v>
      </c>
      <c r="D23" s="48" t="n">
        <f>ROUND(E23*$B$4,2)</f>
        <v>13.73</v>
      </c>
      <c r="E23" s="49" t="n">
        <v>16.05</v>
      </c>
      <c r="F23" s="50" t="n">
        <v>0.85</v>
      </c>
      <c r="G23" s="58" t="str">
        <v>未列中文</v>
      </c>
      <c r="H23" s="49" t="n">
        <v>4.42</v>
      </c>
      <c r="I23" s="51" t="n">
        <v>20127</v>
      </c>
      <c r="J23" s="52" t="n">
        <v>46288.95763888889</v>
      </c>
      <c r="K23" s="58" t="str">
        <v>未显示收录</v>
      </c>
      <c r="L23" s="60" t="str">
        <v>查看港服</v>
      </c>
      <c r="M23" s="64" t="str">
        <v>港服英文版</v>
      </c>
    </row>
    <row r="24" ht="36" customHeight="1">
      <c r="A24" s="55" t="n">
        <v>17</v>
      </c>
      <c r="B24" s="28" t="str">
        <v>怪物猎人：崛起</v>
      </c>
      <c r="C24" s="57" t="str">
        <v>PS4 / PS5</v>
      </c>
      <c r="D24" s="30" t="n">
        <f>ROUND(E24*$B$4,2)</f>
        <v>52.71</v>
      </c>
      <c r="E24" s="31" t="n">
        <v>61.6</v>
      </c>
      <c r="F24" s="32" t="n">
        <v>0.8</v>
      </c>
      <c r="G24" s="57" t="str">
        <v>简繁中文</v>
      </c>
      <c r="H24" s="31" t="n">
        <v>4.25</v>
      </c>
      <c r="I24" s="33" t="n">
        <v>19105</v>
      </c>
      <c r="J24" s="34" t="n">
        <v>46288.95763888889</v>
      </c>
      <c r="K24" s="57" t="str">
        <v>未显示收录</v>
      </c>
      <c r="L24" s="59" t="str">
        <v>查看港服</v>
      </c>
      <c r="M24" s="63" t="str"/>
    </row>
    <row r="25" ht="36" customHeight="1">
      <c r="A25" s="56" t="n">
        <v>18</v>
      </c>
      <c r="B25" s="46" t="str">
        <v>乐高漫威超级英雄2</v>
      </c>
      <c r="C25" s="58" t="str">
        <v>PS4</v>
      </c>
      <c r="D25" s="48" t="n">
        <f>ROUND(E25*$B$4,2)</f>
        <v>33.04</v>
      </c>
      <c r="E25" s="49" t="n">
        <v>38.61</v>
      </c>
      <c r="F25" s="50" t="n">
        <v>0.91</v>
      </c>
      <c r="G25" s="58" t="str">
        <v>有中文</v>
      </c>
      <c r="H25" s="49" t="n">
        <v>4.28</v>
      </c>
      <c r="I25" s="51" t="n">
        <v>18545</v>
      </c>
      <c r="J25" s="52" t="n">
        <v>46288.95763888889</v>
      </c>
      <c r="K25" s="58" t="str">
        <v>未显示收录</v>
      </c>
      <c r="L25" s="60" t="str">
        <v>查看港服</v>
      </c>
      <c r="M25" s="64" t="str"/>
    </row>
    <row r="26" ht="36" customHeight="1">
      <c r="A26" s="55" t="n">
        <v>19</v>
      </c>
      <c r="B26" s="28" t="str">
        <v>地铁：最后的曙光 Redux</v>
      </c>
      <c r="C26" s="57" t="str">
        <v>PS4</v>
      </c>
      <c r="D26" s="30" t="n">
        <f>ROUND(E26*$B$4,2)</f>
        <v>13.73</v>
      </c>
      <c r="E26" s="31" t="n">
        <v>16.05</v>
      </c>
      <c r="F26" s="32" t="n">
        <v>0.85</v>
      </c>
      <c r="G26" s="57" t="str">
        <v>未列中文</v>
      </c>
      <c r="H26" s="31" t="n">
        <v>4.52</v>
      </c>
      <c r="I26" s="33" t="n">
        <v>17266</v>
      </c>
      <c r="J26" s="34" t="n">
        <v>46288.95763888889</v>
      </c>
      <c r="K26" s="57" t="str">
        <v>未显示收录</v>
      </c>
      <c r="L26" s="59" t="str">
        <v>查看港服</v>
      </c>
      <c r="M26" s="63" t="str">
        <v>港服英文版</v>
      </c>
    </row>
    <row r="27" ht="36" customHeight="1">
      <c r="A27" s="56" t="n">
        <v>20</v>
      </c>
      <c r="B27" s="46" t="str">
        <v>JOJO的奇妙冒险：天国之眼</v>
      </c>
      <c r="C27" s="58" t="str">
        <v>PS4</v>
      </c>
      <c r="D27" s="48" t="n">
        <f>ROUND(E27*$B$4,2)</f>
        <v>65.58</v>
      </c>
      <c r="E27" s="49" t="n">
        <v>76.64</v>
      </c>
      <c r="F27" s="50" t="n">
        <v>0.84</v>
      </c>
      <c r="G27" s="58" t="str">
        <v>有中文</v>
      </c>
      <c r="H27" s="49" t="n">
        <v>4.65</v>
      </c>
      <c r="I27" s="51" t="n">
        <v>13104</v>
      </c>
      <c r="J27" s="52" t="n">
        <v>46288.95763888889</v>
      </c>
      <c r="K27" s="58" t="str">
        <v>未显示收录</v>
      </c>
      <c r="L27" s="60" t="str">
        <v>查看港服</v>
      </c>
      <c r="M27" s="64" t="str"/>
    </row>
    <row r="28" ht="36" customHeight="1">
      <c r="A28" s="55" t="n">
        <v>21</v>
      </c>
      <c r="B28" s="28" t="str">
        <v>不朽者传奇／亘古魔战</v>
      </c>
      <c r="C28" s="57" t="str">
        <v>PS5</v>
      </c>
      <c r="D28" s="30" t="n">
        <f>ROUND(E28*$B$4,2)</f>
        <v>46.98</v>
      </c>
      <c r="E28" s="31" t="n">
        <v>54.9</v>
      </c>
      <c r="F28" s="32" t="n">
        <v>0.9</v>
      </c>
      <c r="G28" s="57" t="str">
        <v>简繁中文</v>
      </c>
      <c r="H28" s="31" t="n">
        <v>3.47</v>
      </c>
      <c r="I28" s="33" t="n">
        <v>13032</v>
      </c>
      <c r="J28" s="34" t="n">
        <v>46288.95763888889</v>
      </c>
      <c r="K28" s="57" t="str">
        <v>未显示收录</v>
      </c>
      <c r="L28" s="59" t="str">
        <v>查看港服</v>
      </c>
      <c r="M28" s="63" t="str">
        <v>另有 EA Play 权益</v>
      </c>
    </row>
    <row r="29" ht="36" customHeight="1">
      <c r="A29" s="56" t="n">
        <v>22</v>
      </c>
      <c r="B29" s="46" t="str">
        <v>鬼泣HD合集（1＋2＋3特别版）</v>
      </c>
      <c r="C29" s="58" t="str">
        <v>PS4</v>
      </c>
      <c r="D29" s="48" t="n">
        <f>ROUND(E29*$B$4,2)</f>
        <v>64.38</v>
      </c>
      <c r="E29" s="49" t="n">
        <v>75.24</v>
      </c>
      <c r="F29" s="50" t="n">
        <v>0.67</v>
      </c>
      <c r="G29" s="58" t="str">
        <v>有中文</v>
      </c>
      <c r="H29" s="49" t="n">
        <v>4.72</v>
      </c>
      <c r="I29" s="51" t="n">
        <v>12781</v>
      </c>
      <c r="J29" s="52" t="n">
        <v>46288.95763888889</v>
      </c>
      <c r="K29" s="58" t="str">
        <v>未显示收录</v>
      </c>
      <c r="L29" s="60" t="str">
        <v>查看港服</v>
      </c>
      <c r="M29" s="64" t="str"/>
    </row>
    <row r="30" ht="36" customHeight="1">
      <c r="A30" s="55" t="n">
        <v>23</v>
      </c>
      <c r="B30" s="28" t="str">
        <v>女神异闻录4：黄金版</v>
      </c>
      <c r="C30" s="57" t="str">
        <v>PS4</v>
      </c>
      <c r="D30" s="30" t="n">
        <f>ROUND(E30*$B$4,2)</f>
        <v>75.99</v>
      </c>
      <c r="E30" s="31" t="n">
        <v>88.8</v>
      </c>
      <c r="F30" s="32" t="n">
        <v>0.4</v>
      </c>
      <c r="G30" s="57" t="str">
        <v>简繁中文</v>
      </c>
      <c r="H30" s="31" t="n">
        <v>4.9</v>
      </c>
      <c r="I30" s="33" t="n">
        <v>12181</v>
      </c>
      <c r="J30" s="34" t="n">
        <v>46288.95763888889</v>
      </c>
      <c r="K30" s="57" t="str">
        <v>未显示收录</v>
      </c>
      <c r="L30" s="59" t="str">
        <v>查看港服</v>
      </c>
      <c r="M30" s="63" t="str"/>
    </row>
    <row r="31" ht="36" customHeight="1">
      <c r="A31" s="56" t="n">
        <v>24</v>
      </c>
      <c r="B31" s="46" t="str">
        <v>Saints Row: The Third Remastered</v>
      </c>
      <c r="C31" s="58" t="str">
        <v>PS4</v>
      </c>
      <c r="D31" s="48" t="n">
        <f>ROUND(E31*$B$4,2)</f>
        <v>30.55</v>
      </c>
      <c r="E31" s="49" t="n">
        <v>35.7</v>
      </c>
      <c r="F31" s="50" t="n">
        <v>0.85</v>
      </c>
      <c r="G31" s="58" t="str">
        <v>未列中文</v>
      </c>
      <c r="H31" s="49" t="n">
        <v>4.33</v>
      </c>
      <c r="I31" s="51" t="n">
        <v>10856</v>
      </c>
      <c r="J31" s="52" t="n">
        <v>46288.95763888889</v>
      </c>
      <c r="K31" s="58" t="str">
        <v>未显示收录</v>
      </c>
      <c r="L31" s="60" t="str">
        <v>查看港服</v>
      </c>
      <c r="M31" s="64" t="str"/>
    </row>
    <row r="32" ht="36" customHeight="1">
      <c r="A32" s="55" t="n">
        <v>25</v>
      </c>
      <c r="B32" s="28" t="str">
        <v>如龙 极2</v>
      </c>
      <c r="C32" s="57" t="str">
        <v>PS4 / PS5</v>
      </c>
      <c r="D32" s="30" t="n">
        <f>ROUND(E32*$B$4,2)</f>
        <v>96.01</v>
      </c>
      <c r="E32" s="31" t="n">
        <v>112.2</v>
      </c>
      <c r="F32" s="32" t="n">
        <v>0.4</v>
      </c>
      <c r="G32" s="57" t="str">
        <v>简繁中文</v>
      </c>
      <c r="H32" s="31" t="n">
        <v>4.67</v>
      </c>
      <c r="I32" s="33" t="n">
        <v>10661</v>
      </c>
      <c r="J32" s="34" t="n">
        <v>46288.95763888889</v>
      </c>
      <c r="K32" s="57" t="str">
        <v>未显示收录</v>
      </c>
      <c r="L32" s="59" t="str">
        <v>查看港服</v>
      </c>
      <c r="M32" s="63" t="str"/>
    </row>
    <row r="33" ht="36" customHeight="1">
      <c r="A33" s="56" t="n">
        <v>26</v>
      </c>
      <c r="B33" s="46" t="str">
        <v>Worms Rumble PS4 &amp; PS5</v>
      </c>
      <c r="C33" s="58" t="str">
        <v>PS4 / PS5</v>
      </c>
      <c r="D33" s="48" t="n">
        <f>ROUND(E33*$B$4,2)</f>
        <v>18.48</v>
      </c>
      <c r="E33" s="49" t="n">
        <v>21.6</v>
      </c>
      <c r="F33" s="50" t="n">
        <v>0.8</v>
      </c>
      <c r="G33" s="58" t="str">
        <v>简繁中文</v>
      </c>
      <c r="H33" s="49" t="n">
        <v>3.47</v>
      </c>
      <c r="I33" s="51" t="n">
        <v>9351</v>
      </c>
      <c r="J33" s="52" t="n">
        <v>46288.95763888889</v>
      </c>
      <c r="K33" s="58" t="str">
        <v>未显示收录</v>
      </c>
      <c r="L33" s="60" t="str">
        <v>查看港服</v>
      </c>
      <c r="M33" s="64" t="str"/>
    </row>
    <row r="34" ht="36" customHeight="1">
      <c r="A34" s="55" t="n">
        <v>27</v>
      </c>
      <c r="B34" s="28" t="str">
        <v>乐高超人总动员</v>
      </c>
      <c r="C34" s="57" t="str">
        <v>PS4</v>
      </c>
      <c r="D34" s="30" t="n">
        <f>ROUND(E34*$B$4,2)</f>
        <v>33.04</v>
      </c>
      <c r="E34" s="31" t="n">
        <v>38.61</v>
      </c>
      <c r="F34" s="32" t="n">
        <v>0.91</v>
      </c>
      <c r="G34" s="57" t="str">
        <v>有中文</v>
      </c>
      <c r="H34" s="31" t="n">
        <v>3.81</v>
      </c>
      <c r="I34" s="33" t="n">
        <v>8373</v>
      </c>
      <c r="J34" s="34" t="n">
        <v>46288.95763888889</v>
      </c>
      <c r="K34" s="57" t="str">
        <v>未显示收录</v>
      </c>
      <c r="L34" s="59" t="str">
        <v>查看港服</v>
      </c>
      <c r="M34" s="63" t="str"/>
    </row>
    <row r="35" ht="36" customHeight="1">
      <c r="A35" s="56" t="n">
        <v>28</v>
      </c>
      <c r="B35" s="46" t="str">
        <v>Tails of Iron</v>
      </c>
      <c r="C35" s="58" t="str">
        <v>PS4 / PS5</v>
      </c>
      <c r="D35" s="48" t="n">
        <f>ROUND(E35*$B$4,2)</f>
        <v>20.33</v>
      </c>
      <c r="E35" s="49" t="n">
        <v>23.76</v>
      </c>
      <c r="F35" s="50" t="n">
        <v>0.88</v>
      </c>
      <c r="G35" s="58" t="str">
        <v>简体中文</v>
      </c>
      <c r="H35" s="49" t="n">
        <v>4.5</v>
      </c>
      <c r="I35" s="51" t="n">
        <v>8174</v>
      </c>
      <c r="J35" s="52" t="n">
        <v>46288.95763888889</v>
      </c>
      <c r="K35" s="58" t="str">
        <v>未显示收录</v>
      </c>
      <c r="L35" s="60" t="str">
        <v>查看港服</v>
      </c>
      <c r="M35" s="64" t="str"/>
    </row>
    <row r="36" ht="36" customHeight="1">
      <c r="A36" s="55" t="n">
        <v>29</v>
      </c>
      <c r="B36" s="28" t="str">
        <v>《異形：特戰菁英》PS4 &amp; PS5</v>
      </c>
      <c r="C36" s="57" t="str">
        <v>PS4 / PS5</v>
      </c>
      <c r="D36" s="30" t="n">
        <f>ROUND(E36*$B$4,2)</f>
        <v>50.91</v>
      </c>
      <c r="E36" s="31" t="n">
        <v>59.5</v>
      </c>
      <c r="F36" s="32" t="n">
        <v>0.75</v>
      </c>
      <c r="G36" s="57" t="str">
        <v>简繁中文</v>
      </c>
      <c r="H36" s="31" t="n">
        <v>3.72</v>
      </c>
      <c r="I36" s="33" t="n">
        <v>6371</v>
      </c>
      <c r="J36" s="34" t="n">
        <v>46288.95763888889</v>
      </c>
      <c r="K36" s="57" t="str">
        <v>未显示收录</v>
      </c>
      <c r="L36" s="59" t="str">
        <v>查看港服</v>
      </c>
      <c r="M36" s="63" t="str"/>
    </row>
    <row r="37" ht="36" customHeight="1">
      <c r="A37" s="56" t="n">
        <v>30</v>
      </c>
      <c r="B37" s="46" t="str">
        <v>狙击手：幽灵战士契约1＋2 合集</v>
      </c>
      <c r="C37" s="58" t="str">
        <v>PS4 / PS5</v>
      </c>
      <c r="D37" s="48" t="n">
        <f>ROUND(E37*$B$4,2)</f>
        <v>40.05</v>
      </c>
      <c r="E37" s="49" t="n">
        <v>46.8</v>
      </c>
      <c r="F37" s="50" t="n">
        <v>0.9</v>
      </c>
      <c r="G37" s="58" t="str">
        <v>简繁中文</v>
      </c>
      <c r="H37" s="49" t="n">
        <v>4.03</v>
      </c>
      <c r="I37" s="51" t="n">
        <v>6235</v>
      </c>
      <c r="J37" s="52" t="n">
        <v>46288.95763888889</v>
      </c>
      <c r="K37" s="58" t="str">
        <v>未显示收录</v>
      </c>
      <c r="L37" s="60" t="str">
        <v>查看港服</v>
      </c>
      <c r="M37" s="64" t="str">
        <v>包含两款本体；契约1为 PS4 版</v>
      </c>
    </row>
    <row r="38" ht="36" customHeight="1">
      <c r="A38" s="55" t="n">
        <v>31</v>
      </c>
      <c r="B38" s="28" t="str">
        <v>Sniper Ghost Warrior Contracts 2</v>
      </c>
      <c r="C38" s="57" t="str">
        <v>PS4 / PS5</v>
      </c>
      <c r="D38" s="30" t="n">
        <f>ROUND(E38*$B$4,2)</f>
        <v>26.36</v>
      </c>
      <c r="E38" s="31" t="n">
        <v>30.8</v>
      </c>
      <c r="F38" s="32" t="n">
        <v>0.9</v>
      </c>
      <c r="G38" s="57" t="str">
        <v>简繁中文</v>
      </c>
      <c r="H38" s="31" t="n">
        <v>4.03</v>
      </c>
      <c r="I38" s="33" t="n">
        <v>6235</v>
      </c>
      <c r="J38" s="34" t="n">
        <v>46288.95763888889</v>
      </c>
      <c r="K38" s="57" t="str">
        <v>未显示收录</v>
      </c>
      <c r="L38" s="59" t="str">
        <v>查看港服</v>
      </c>
      <c r="M38" s="63" t="str"/>
    </row>
    <row r="39" ht="36" customHeight="1">
      <c r="A39" s="56" t="n">
        <v>32</v>
      </c>
      <c r="B39" s="46" t="str">
        <v>SHINOBI 反攻的斬擊 數位豪華版 PS4 &amp; PS5</v>
      </c>
      <c r="C39" s="58" t="str">
        <v>PS4 / PS5</v>
      </c>
      <c r="D39" s="48" t="n">
        <f>ROUND(E39*$B$4,2)</f>
        <v>86.25</v>
      </c>
      <c r="E39" s="49" t="n">
        <v>100.8</v>
      </c>
      <c r="F39" s="50" t="n">
        <v>0.55</v>
      </c>
      <c r="G39" s="58" t="str">
        <v>简繁中文</v>
      </c>
      <c r="H39" s="49" t="n">
        <v>4.66</v>
      </c>
      <c r="I39" s="51" t="n">
        <v>5791</v>
      </c>
      <c r="J39" s="52" t="n">
        <v>46288.95763888889</v>
      </c>
      <c r="K39" s="58" t="str">
        <v>未显示收录</v>
      </c>
      <c r="L39" s="60" t="str">
        <v>查看港服</v>
      </c>
      <c r="M39" s="64" t="str"/>
    </row>
    <row r="40" ht="36" customHeight="1">
      <c r="A40" s="55" t="n">
        <v>33</v>
      </c>
      <c r="B40" s="28" t="str">
        <v>Heavenly Bodies</v>
      </c>
      <c r="C40" s="57" t="str">
        <v>PS4 / PS5</v>
      </c>
      <c r="D40" s="30" t="n">
        <f>ROUND(E40*$B$4,2)</f>
        <v>31.66</v>
      </c>
      <c r="E40" s="31" t="n">
        <v>37</v>
      </c>
      <c r="F40" s="32" t="n">
        <v>0.75</v>
      </c>
      <c r="G40" s="57" t="str">
        <v>简繁中文</v>
      </c>
      <c r="H40" s="31" t="n">
        <v>4.16</v>
      </c>
      <c r="I40" s="33" t="n">
        <v>5743</v>
      </c>
      <c r="J40" s="34" t="n">
        <v>46288.95763888889</v>
      </c>
      <c r="K40" s="57" t="str">
        <v>未显示收录</v>
      </c>
      <c r="L40" s="59" t="str">
        <v>查看港服</v>
      </c>
      <c r="M40" s="63" t="str"/>
    </row>
    <row r="41" ht="36" customHeight="1">
      <c r="A41" s="56" t="n">
        <v>34</v>
      </c>
      <c r="B41" s="46" t="str">
        <v>死亡循环（DEATHLOOP）</v>
      </c>
      <c r="C41" s="58" t="str">
        <v>PS5</v>
      </c>
      <c r="D41" s="48" t="n">
        <f>ROUND(E41*$B$4,2)</f>
        <v>80.09</v>
      </c>
      <c r="E41" s="49" t="n">
        <v>93.6</v>
      </c>
      <c r="F41" s="50" t="n">
        <v>0.8</v>
      </c>
      <c r="G41" s="58" t="str">
        <v>简繁中文</v>
      </c>
      <c r="H41" s="49" t="n">
        <v>4.09</v>
      </c>
      <c r="I41" s="51" t="n">
        <v>4787</v>
      </c>
      <c r="J41" s="52" t="n">
        <v>46288.95763888889</v>
      </c>
      <c r="K41" s="58" t="str">
        <v>未显示收录</v>
      </c>
      <c r="L41" s="60" t="str">
        <v>查看港服</v>
      </c>
      <c r="M41" s="64" t="str"/>
    </row>
    <row r="42" ht="36" customHeight="1">
      <c r="A42" s="55" t="n">
        <v>35</v>
      </c>
      <c r="B42" s="28" t="str">
        <v>Tomb Raider: Legend</v>
      </c>
      <c r="C42" s="57" t="str">
        <v>PS4 / PS5</v>
      </c>
      <c r="D42" s="30" t="n">
        <f>ROUND(E42*$B$4,2)</f>
        <v>50.66</v>
      </c>
      <c r="E42" s="31" t="n">
        <v>59.2</v>
      </c>
      <c r="F42" s="32" t="n">
        <v>0.6</v>
      </c>
      <c r="G42" s="57" t="str">
        <v>未列中文</v>
      </c>
      <c r="H42" s="31" t="n">
        <v>4.45</v>
      </c>
      <c r="I42" s="33" t="n">
        <v>4452</v>
      </c>
      <c r="J42" s="34" t="n">
        <v>46288.95763888889</v>
      </c>
      <c r="K42" s="57" t="str">
        <v>未显示收录</v>
      </c>
      <c r="L42" s="59" t="str">
        <v>查看港服</v>
      </c>
      <c r="M42" s="63" t="str">
        <v>另有高档经典游戏权益</v>
      </c>
    </row>
    <row r="43" ht="36" customHeight="1">
      <c r="A43" s="56" t="n">
        <v>36</v>
      </c>
      <c r="B43" s="46" t="str">
        <v>DOOM + DOOM II</v>
      </c>
      <c r="C43" s="58" t="str">
        <v>PS4 / PS5</v>
      </c>
      <c r="D43" s="48" t="n">
        <f>ROUND(E43*$B$4,2)</f>
        <v>24.64</v>
      </c>
      <c r="E43" s="49" t="n">
        <v>28.8</v>
      </c>
      <c r="F43" s="50" t="n">
        <v>0.6</v>
      </c>
      <c r="G43" s="58" t="str">
        <v>简繁中文</v>
      </c>
      <c r="H43" s="49" t="n">
        <v>4.85</v>
      </c>
      <c r="I43" s="51" t="n">
        <v>4411</v>
      </c>
      <c r="J43" s="52" t="n">
        <v>46288.95763888889</v>
      </c>
      <c r="K43" s="58" t="str">
        <v>未显示收录</v>
      </c>
      <c r="L43" s="60" t="str">
        <v>查看港服</v>
      </c>
      <c r="M43" s="64" t="str"/>
    </row>
    <row r="44" ht="36" customHeight="1">
      <c r="A44" s="55" t="n">
        <v>37</v>
      </c>
      <c r="B44" s="28" t="str">
        <v>Supermarket Owner Simulator: Business</v>
      </c>
      <c r="C44" s="57" t="str">
        <v>PS4</v>
      </c>
      <c r="D44" s="30" t="n">
        <f>ROUND(E44*$B$4,2)</f>
        <v>46.72</v>
      </c>
      <c r="E44" s="31" t="n">
        <v>54.6</v>
      </c>
      <c r="F44" s="32" t="n">
        <v>0.3</v>
      </c>
      <c r="G44" s="57" t="str">
        <v>未列中文</v>
      </c>
      <c r="H44" s="31" t="n">
        <v>2.65</v>
      </c>
      <c r="I44" s="33" t="n">
        <v>4220</v>
      </c>
      <c r="J44" s="34" t="n">
        <v>46288.95763888889</v>
      </c>
      <c r="K44" s="57" t="str">
        <v>未显示收录</v>
      </c>
      <c r="L44" s="59" t="str">
        <v>查看港服</v>
      </c>
      <c r="M44" s="63" t="str">
        <v>表列普通折扣价；PS Plus或有额外折扣</v>
      </c>
    </row>
    <row r="45" ht="36" customHeight="1">
      <c r="A45" s="56" t="n">
        <v>38</v>
      </c>
      <c r="B45" s="46" t="str">
        <v>Arizona Sunshine® VR 2</v>
      </c>
      <c r="C45" s="58" t="str">
        <v>PS5</v>
      </c>
      <c r="D45" s="48" t="n">
        <f>ROUND(E45*$B$4,2)</f>
        <v>97.52</v>
      </c>
      <c r="E45" s="49" t="n">
        <v>113.96</v>
      </c>
      <c r="F45" s="50" t="n">
        <v>0.63</v>
      </c>
      <c r="G45" s="58" t="str">
        <v>简繁中文</v>
      </c>
      <c r="H45" s="49" t="n">
        <v>4.53</v>
      </c>
      <c r="I45" s="51" t="n">
        <v>3797</v>
      </c>
      <c r="J45" s="52" t="n">
        <v>46288.95763888889</v>
      </c>
      <c r="K45" s="58" t="str">
        <v>未显示收录</v>
      </c>
      <c r="L45" s="60" t="str">
        <v>查看港服</v>
      </c>
      <c r="M45" s="64" t="str">
        <v>含VR相关要求，购买前查看商品页；另有限时试玩</v>
      </c>
    </row>
    <row r="46" ht="36" customHeight="1">
      <c r="A46" s="55" t="n">
        <v>39</v>
      </c>
      <c r="B46" s="28" t="str">
        <v>Ride 2</v>
      </c>
      <c r="C46" s="57" t="str">
        <v>PS4</v>
      </c>
      <c r="D46" s="30" t="n">
        <f>ROUND(E46*$B$4,2)</f>
        <v>16.94</v>
      </c>
      <c r="E46" s="31" t="n">
        <v>19.8</v>
      </c>
      <c r="F46" s="32" t="n">
        <v>0.9</v>
      </c>
      <c r="G46" s="57" t="str">
        <v>未列中文</v>
      </c>
      <c r="H46" s="31" t="n">
        <v>4.37</v>
      </c>
      <c r="I46" s="33" t="n">
        <v>3792</v>
      </c>
      <c r="J46" s="34" t="n">
        <v>46288.95763888889</v>
      </c>
      <c r="K46" s="57" t="str">
        <v>未显示收录</v>
      </c>
      <c r="L46" s="59" t="str">
        <v>查看港服</v>
      </c>
      <c r="M46" s="63" t="str"/>
    </row>
    <row r="47" ht="36" customHeight="1">
      <c r="A47" s="56" t="n">
        <v>40</v>
      </c>
      <c r="B47" s="46" t="str">
        <v>Warhammer 40,000: Rogue Trader</v>
      </c>
      <c r="C47" s="58" t="str">
        <v>PS5</v>
      </c>
      <c r="D47" s="48" t="n">
        <f>ROUND(E47*$B$4,2)</f>
        <v>59.3</v>
      </c>
      <c r="E47" s="49" t="n">
        <v>69.3</v>
      </c>
      <c r="F47" s="50" t="n">
        <v>0.65</v>
      </c>
      <c r="G47" s="58" t="str">
        <v>简体中文</v>
      </c>
      <c r="H47" s="49" t="n">
        <v>4.59</v>
      </c>
      <c r="I47" s="51" t="n">
        <v>3704</v>
      </c>
      <c r="J47" s="52" t="n">
        <v>46288.95763888889</v>
      </c>
      <c r="K47" s="58" t="str">
        <v>未显示收录</v>
      </c>
      <c r="L47" s="60" t="str">
        <v>查看港服</v>
      </c>
      <c r="M47" s="64" t="str"/>
    </row>
    <row r="48" ht="36" customHeight="1">
      <c r="A48" s="55" t="n">
        <v>41</v>
      </c>
      <c r="B48" s="28" t="str">
        <v>Lovecraftian合輯包</v>
      </c>
      <c r="C48" s="57" t="str">
        <v>PS4 / PS5</v>
      </c>
      <c r="D48" s="30" t="n">
        <f>ROUND(E48*$B$4,2)</f>
        <v>54.59</v>
      </c>
      <c r="E48" s="31" t="n">
        <v>63.8</v>
      </c>
      <c r="F48" s="32" t="n">
        <v>0.9</v>
      </c>
      <c r="G48" s="57" t="str">
        <v>简繁中文</v>
      </c>
      <c r="H48" s="31" t="n">
        <v>4.1</v>
      </c>
      <c r="I48" s="33" t="n">
        <v>3355</v>
      </c>
      <c r="J48" s="34" t="n">
        <v>46288.95763888889</v>
      </c>
      <c r="K48" s="57" t="str">
        <v>未显示收录</v>
      </c>
      <c r="L48" s="59" t="str">
        <v>查看港服</v>
      </c>
      <c r="M48" s="63" t="str"/>
    </row>
    <row r="49" ht="36" customHeight="1">
      <c r="A49" s="56" t="n">
        <v>42</v>
      </c>
      <c r="B49" s="46" t="str">
        <v>Trepang2</v>
      </c>
      <c r="C49" s="58" t="str">
        <v>PS5</v>
      </c>
      <c r="D49" s="48" t="n">
        <f>ROUND(E49*$B$4,2)</f>
        <v>50.91</v>
      </c>
      <c r="E49" s="49" t="n">
        <v>59.5</v>
      </c>
      <c r="F49" s="50" t="n">
        <v>0.75</v>
      </c>
      <c r="G49" s="58" t="str">
        <v>简繁中文</v>
      </c>
      <c r="H49" s="49" t="n">
        <v>4.55</v>
      </c>
      <c r="I49" s="51" t="n">
        <v>3146</v>
      </c>
      <c r="J49" s="52" t="n">
        <v>46288.95763888889</v>
      </c>
      <c r="K49" s="58" t="str">
        <v>未显示收录</v>
      </c>
      <c r="L49" s="60" t="str">
        <v>查看港服</v>
      </c>
      <c r="M49" s="64" t="str"/>
    </row>
    <row r="50" ht="44" customHeight="1">
      <c r="A50" s="55" t="n">
        <v>43</v>
      </c>
      <c r="B50" s="28" t="str">
        <v>Vampire Crawlers: The Turbo Wildcard from Vampire Survivors</v>
      </c>
      <c r="C50" s="57" t="str">
        <v>PS5</v>
      </c>
      <c r="D50" s="30" t="n">
        <f>ROUND(E50*$B$4,2)</f>
        <v>60.07</v>
      </c>
      <c r="E50" s="31" t="n">
        <v>70.2</v>
      </c>
      <c r="F50" s="32" t="n">
        <v>0.1</v>
      </c>
      <c r="G50" s="57" t="str">
        <v>简繁中文</v>
      </c>
      <c r="H50" s="31" t="n">
        <v>4.85</v>
      </c>
      <c r="I50" s="33" t="n">
        <v>3053</v>
      </c>
      <c r="J50" s="34" t="n">
        <v>46288.95763888889</v>
      </c>
      <c r="K50" s="57" t="str">
        <v>未显示收录</v>
      </c>
      <c r="L50" s="59" t="str">
        <v>查看港服</v>
      </c>
      <c r="M50" s="63" t="str">
        <v>另有限时试玩</v>
      </c>
    </row>
    <row r="51" ht="36" customHeight="1">
      <c r="A51" s="56" t="n">
        <v>44</v>
      </c>
      <c r="B51" s="46" t="str">
        <v>TCG Card Market Simulator</v>
      </c>
      <c r="C51" s="58" t="str">
        <v>PS4</v>
      </c>
      <c r="D51" s="48" t="n">
        <f>ROUND(E51*$B$4,2)</f>
        <v>26.7</v>
      </c>
      <c r="E51" s="49" t="n">
        <v>31.2</v>
      </c>
      <c r="F51" s="50" t="n">
        <v>0.6</v>
      </c>
      <c r="G51" s="58" t="str">
        <v>未列中文</v>
      </c>
      <c r="H51" s="49" t="n">
        <v>1.42</v>
      </c>
      <c r="I51" s="51" t="n">
        <v>2947</v>
      </c>
      <c r="J51" s="52" t="n">
        <v>46288.95763888889</v>
      </c>
      <c r="K51" s="58" t="str">
        <v>未显示收录</v>
      </c>
      <c r="L51" s="60" t="str">
        <v>查看港服</v>
      </c>
      <c r="M51" s="64" t="str">
        <v>表列普通折扣价；PS Plus或有额外折扣</v>
      </c>
    </row>
    <row r="52" ht="36" customHeight="1">
      <c r="A52" s="55" t="n">
        <v>45</v>
      </c>
      <c r="B52" s="28" t="str">
        <v>王国：两位君主</v>
      </c>
      <c r="C52" s="57" t="str">
        <v>PS4</v>
      </c>
      <c r="D52" s="30" t="n">
        <f>ROUND(E52*$B$4,2)</f>
        <v>31.66</v>
      </c>
      <c r="E52" s="31" t="n">
        <v>37</v>
      </c>
      <c r="F52" s="32" t="n">
        <v>0.75</v>
      </c>
      <c r="G52" s="57" t="str">
        <v>未列中文</v>
      </c>
      <c r="H52" s="31" t="n">
        <v>4.61</v>
      </c>
      <c r="I52" s="33" t="n">
        <v>2924</v>
      </c>
      <c r="J52" s="34" t="n">
        <v>46288.95763888889</v>
      </c>
      <c r="K52" s="57" t="str">
        <v>未显示收录</v>
      </c>
      <c r="L52" s="59" t="str">
        <v>查看港服</v>
      </c>
      <c r="M52" s="63" t="str">
        <v>港服此版本未列中文</v>
      </c>
    </row>
    <row r="53" ht="36" customHeight="1">
      <c r="A53" s="56" t="n">
        <v>46</v>
      </c>
      <c r="B53" s="46" t="str">
        <v>完蛋！我被美女包圍了！</v>
      </c>
      <c r="C53" s="58" t="str">
        <v>PS5</v>
      </c>
      <c r="D53" s="48" t="n">
        <f>ROUND(E53*$B$4,2)</f>
        <v>25.24</v>
      </c>
      <c r="E53" s="49" t="n">
        <v>29.5</v>
      </c>
      <c r="F53" s="50" t="n">
        <v>0.5</v>
      </c>
      <c r="G53" s="58" t="str">
        <v>简繁中文</v>
      </c>
      <c r="H53" s="49" t="n">
        <v>4.3</v>
      </c>
      <c r="I53" s="51" t="n">
        <v>2913</v>
      </c>
      <c r="J53" s="52" t="n">
        <v>46288.95763888889</v>
      </c>
      <c r="K53" s="58" t="str">
        <v>未显示收录</v>
      </c>
      <c r="L53" s="60" t="str">
        <v>查看港服</v>
      </c>
      <c r="M53" s="64" t="str"/>
    </row>
    <row r="54" ht="36" customHeight="1">
      <c r="A54" s="55" t="n">
        <v>47</v>
      </c>
      <c r="B54" s="28" t="str">
        <v>Tchia: Oléti Edition (PS4 &amp; PS5)</v>
      </c>
      <c r="C54" s="57" t="str">
        <v>PS4 / PS5</v>
      </c>
      <c r="D54" s="30" t="n">
        <f>ROUND(E54*$B$4,2)</f>
        <v>57.33</v>
      </c>
      <c r="E54" s="31" t="n">
        <v>67</v>
      </c>
      <c r="F54" s="32" t="n">
        <v>0.75</v>
      </c>
      <c r="G54" s="57" t="str">
        <v>简体中文</v>
      </c>
      <c r="H54" s="31" t="n">
        <v>4.05</v>
      </c>
      <c r="I54" s="33" t="n">
        <v>2891</v>
      </c>
      <c r="J54" s="34" t="n">
        <v>46288.95763888889</v>
      </c>
      <c r="K54" s="57" t="str">
        <v>未显示收录</v>
      </c>
      <c r="L54" s="59" t="str">
        <v>查看港服</v>
      </c>
      <c r="M54" s="63" t="str"/>
    </row>
    <row r="55" ht="36" customHeight="1">
      <c r="A55" s="56" t="n">
        <v>48</v>
      </c>
      <c r="B55" s="46" t="str">
        <v>Truck Simulator 25: Euro Driver</v>
      </c>
      <c r="C55" s="58" t="str">
        <v>PS4</v>
      </c>
      <c r="D55" s="48" t="n">
        <f>ROUND(E55*$B$4,2)</f>
        <v>46.21</v>
      </c>
      <c r="E55" s="49" t="n">
        <v>54</v>
      </c>
      <c r="F55" s="50" t="n">
        <v>0.5</v>
      </c>
      <c r="G55" s="58" t="str">
        <v>未列中文</v>
      </c>
      <c r="H55" s="49" t="n">
        <v>1.29</v>
      </c>
      <c r="I55" s="51" t="n">
        <v>2862</v>
      </c>
      <c r="J55" s="52" t="n">
        <v>46288.95763888889</v>
      </c>
      <c r="K55" s="58" t="str">
        <v>未显示收录</v>
      </c>
      <c r="L55" s="60" t="str">
        <v>查看港服</v>
      </c>
      <c r="M55" s="64" t="str">
        <v>表列普通折扣价；PS Plus或有额外折扣</v>
      </c>
    </row>
    <row r="56" ht="36" customHeight="1">
      <c r="A56" s="55" t="n">
        <v>49</v>
      </c>
      <c r="B56" s="28" t="str">
        <v>Ultros (PS4 &amp; PS5)</v>
      </c>
      <c r="C56" s="57" t="str">
        <v>PS4 / PS5</v>
      </c>
      <c r="D56" s="30" t="n">
        <f>ROUND(E56*$B$4,2)</f>
        <v>42.36</v>
      </c>
      <c r="E56" s="31" t="n">
        <v>49.5</v>
      </c>
      <c r="F56" s="32" t="n">
        <v>0.75</v>
      </c>
      <c r="G56" s="57" t="str">
        <v>简繁中文</v>
      </c>
      <c r="H56" s="31" t="n">
        <v>3.61</v>
      </c>
      <c r="I56" s="33" t="n">
        <v>2768</v>
      </c>
      <c r="J56" s="34" t="n">
        <v>46288.95763888889</v>
      </c>
      <c r="K56" s="57" t="str">
        <v>未显示收录</v>
      </c>
      <c r="L56" s="59" t="str">
        <v>查看港服</v>
      </c>
      <c r="M56" s="63" t="str"/>
    </row>
    <row r="57" ht="36" customHeight="1">
      <c r="A57" s="56" t="n">
        <v>50</v>
      </c>
      <c r="B57" s="46" t="str">
        <v>女神异闻录3：携带版</v>
      </c>
      <c r="C57" s="58" t="str">
        <v>PS4</v>
      </c>
      <c r="D57" s="48" t="n">
        <f>ROUND(E57*$B$4,2)</f>
        <v>75.99</v>
      </c>
      <c r="E57" s="49" t="n">
        <v>88.8</v>
      </c>
      <c r="F57" s="50" t="n">
        <v>0.4</v>
      </c>
      <c r="G57" s="58" t="str">
        <v>简繁中文</v>
      </c>
      <c r="H57" s="49" t="n">
        <v>4.62</v>
      </c>
      <c r="I57" s="51" t="n">
        <v>2638</v>
      </c>
      <c r="J57" s="52" t="n">
        <v>46288.95763888889</v>
      </c>
      <c r="K57" s="58" t="str">
        <v>未显示收录</v>
      </c>
      <c r="L57" s="60" t="str">
        <v>查看港服</v>
      </c>
      <c r="M57" s="64" t="str">
        <v>P3P 携带版，非 Reload 重制版</v>
      </c>
    </row>
    <row r="58" ht="36" customHeight="1">
      <c r="A58" s="55" t="n">
        <v>51</v>
      </c>
      <c r="B58" s="28" t="str">
        <v>为了吾王2</v>
      </c>
      <c r="C58" s="57" t="str">
        <v>PS4 / PS5</v>
      </c>
      <c r="D58" s="30" t="n">
        <f>ROUND(E58*$B$4,2)</f>
        <v>76.16</v>
      </c>
      <c r="E58" s="31" t="n">
        <v>89</v>
      </c>
      <c r="F58" s="32" t="n">
        <v>0.5</v>
      </c>
      <c r="G58" s="57" t="str">
        <v>简繁中文</v>
      </c>
      <c r="H58" s="31" t="n">
        <v>3.46</v>
      </c>
      <c r="I58" s="33" t="n">
        <v>2585</v>
      </c>
      <c r="J58" s="34" t="n">
        <v>46288.95763888889</v>
      </c>
      <c r="K58" s="57" t="str">
        <v>未显示收录</v>
      </c>
      <c r="L58" s="59" t="str">
        <v>查看港服</v>
      </c>
      <c r="M58" s="63" t="str"/>
    </row>
    <row r="59" ht="36" customHeight="1">
      <c r="A59" s="56" t="n">
        <v>52</v>
      </c>
      <c r="B59" s="46" t="str">
        <v>Blood Omen: Legacy of Kain</v>
      </c>
      <c r="C59" s="58" t="str">
        <v>PS4 / PS5</v>
      </c>
      <c r="D59" s="48" t="n">
        <f>ROUND(E59*$B$4,2)</f>
        <v>33.37</v>
      </c>
      <c r="E59" s="49" t="n">
        <v>39</v>
      </c>
      <c r="F59" s="50" t="n">
        <v>0.5</v>
      </c>
      <c r="G59" s="58" t="str">
        <v>未列中文</v>
      </c>
      <c r="H59" s="49" t="n">
        <v>4.72</v>
      </c>
      <c r="I59" s="51" t="n">
        <v>2513</v>
      </c>
      <c r="J59" s="52" t="n">
        <v>46288.95763888889</v>
      </c>
      <c r="K59" s="58" t="str">
        <v>未显示收录</v>
      </c>
      <c r="L59" s="60" t="str">
        <v>查看港服</v>
      </c>
      <c r="M59" s="64" t="str">
        <v>另有高档经典游戏权益</v>
      </c>
    </row>
    <row r="60" ht="36" customHeight="1">
      <c r="A60" s="55" t="n">
        <v>53</v>
      </c>
      <c r="B60" s="28" t="str">
        <v>Funko Fusion</v>
      </c>
      <c r="C60" s="57" t="str">
        <v>PS4</v>
      </c>
      <c r="D60" s="30" t="n">
        <f>ROUND(E60*$B$4,2)</f>
        <v>16.29</v>
      </c>
      <c r="E60" s="31" t="n">
        <v>19.04</v>
      </c>
      <c r="F60" s="32" t="n">
        <v>0.92</v>
      </c>
      <c r="G60" s="57" t="str">
        <v>简繁中文</v>
      </c>
      <c r="H60" s="31" t="n">
        <v>3.86</v>
      </c>
      <c r="I60" s="33" t="n">
        <v>2480</v>
      </c>
      <c r="J60" s="34" t="n">
        <v>46288.95763888889</v>
      </c>
      <c r="K60" s="57" t="str">
        <v>未显示收录</v>
      </c>
      <c r="L60" s="59" t="str">
        <v>查看港服</v>
      </c>
      <c r="M60" s="63" t="str">
        <v>此价为 PS4 版；高档试玩非二档收录</v>
      </c>
    </row>
    <row r="61" ht="36" customHeight="1">
      <c r="A61" s="56" t="n">
        <v>54</v>
      </c>
      <c r="B61" s="46" t="str">
        <v>Funko Fusion</v>
      </c>
      <c r="C61" s="58" t="str">
        <v>PS5</v>
      </c>
      <c r="D61" s="48" t="n">
        <f>ROUND(E61*$B$4,2)</f>
        <v>34.4</v>
      </c>
      <c r="E61" s="49" t="n">
        <v>40.2</v>
      </c>
      <c r="F61" s="50" t="n">
        <v>0.85</v>
      </c>
      <c r="G61" s="58" t="str">
        <v>简繁中文</v>
      </c>
      <c r="H61" s="49" t="n">
        <v>3.86</v>
      </c>
      <c r="I61" s="51" t="n">
        <v>2480</v>
      </c>
      <c r="J61" s="52" t="n">
        <v>46288.95763888889</v>
      </c>
      <c r="K61" s="58" t="str">
        <v>未显示收录</v>
      </c>
      <c r="L61" s="60" t="str">
        <v>查看港服</v>
      </c>
      <c r="M61" s="64" t="str">
        <v>另有限时试玩</v>
      </c>
    </row>
    <row r="62" ht="36" customHeight="1">
      <c r="A62" s="55" t="n">
        <v>55</v>
      </c>
      <c r="B62" s="28" t="str">
        <v>都市傳說解體中心</v>
      </c>
      <c r="C62" s="57" t="str">
        <v>PS5</v>
      </c>
      <c r="D62" s="30" t="n">
        <f>ROUND(E62*$B$4,2)</f>
        <v>67.69</v>
      </c>
      <c r="E62" s="31" t="n">
        <v>79.1</v>
      </c>
      <c r="F62" s="32" t="n">
        <v>0.3</v>
      </c>
      <c r="G62" s="57" t="str">
        <v>简繁中文</v>
      </c>
      <c r="H62" s="31" t="n">
        <v>4.8</v>
      </c>
      <c r="I62" s="33" t="n">
        <v>2373</v>
      </c>
      <c r="J62" s="34" t="n">
        <v>46288.95763888889</v>
      </c>
      <c r="K62" s="57" t="str">
        <v>未显示收录</v>
      </c>
      <c r="L62" s="59" t="str">
        <v>查看港服</v>
      </c>
      <c r="M62" s="63" t="str"/>
    </row>
    <row r="63" ht="36" customHeight="1">
      <c r="A63" s="56" t="n">
        <v>56</v>
      </c>
      <c r="B63" s="46" t="str">
        <v>再見公主 - 原始剪輯版</v>
      </c>
      <c r="C63" s="58" t="str">
        <v>PS4</v>
      </c>
      <c r="D63" s="48" t="n">
        <f>ROUND(E63*$B$4,2)</f>
        <v>55.45</v>
      </c>
      <c r="E63" s="49" t="n">
        <v>64.8</v>
      </c>
      <c r="F63" s="50" t="n">
        <v>0.4</v>
      </c>
      <c r="G63" s="58" t="str">
        <v>简繁中文</v>
      </c>
      <c r="H63" s="49" t="n">
        <v>4.81</v>
      </c>
      <c r="I63" s="51" t="n">
        <v>2269</v>
      </c>
      <c r="J63" s="52" t="n">
        <v>46288.95763888889</v>
      </c>
      <c r="K63" s="58" t="str">
        <v>未显示收录</v>
      </c>
      <c r="L63" s="60" t="str">
        <v>查看港服</v>
      </c>
      <c r="M63" s="64" t="str"/>
    </row>
    <row r="64" ht="36" customHeight="1">
      <c r="A64" s="55" t="n">
        <v>57</v>
      </c>
      <c r="B64" s="28" t="str">
        <v>Blood Omen 2: Legacy of Kain</v>
      </c>
      <c r="C64" s="57" t="str">
        <v>PS4 / PS5</v>
      </c>
      <c r="D64" s="30" t="n">
        <f>ROUND(E64*$B$4,2)</f>
        <v>46.21</v>
      </c>
      <c r="E64" s="31" t="n">
        <v>54</v>
      </c>
      <c r="F64" s="32" t="n">
        <v>0.5</v>
      </c>
      <c r="G64" s="57" t="str">
        <v>未列中文</v>
      </c>
      <c r="H64" s="31" t="n">
        <v>4.65</v>
      </c>
      <c r="I64" s="33" t="n">
        <v>2255</v>
      </c>
      <c r="J64" s="34" t="n">
        <v>46288.95763888889</v>
      </c>
      <c r="K64" s="57" t="str">
        <v>未显示收录</v>
      </c>
      <c r="L64" s="59" t="str">
        <v>查看港服</v>
      </c>
      <c r="M64" s="63" t="str">
        <v>另有高档经典游戏权益</v>
      </c>
    </row>
    <row r="65" ht="36" customHeight="1">
      <c r="A65" s="56" t="n">
        <v>58</v>
      </c>
      <c r="B65" s="46" t="str">
        <v>Pacify</v>
      </c>
      <c r="C65" s="58" t="str">
        <v>PS4</v>
      </c>
      <c r="D65" s="48" t="n">
        <f>ROUND(E65*$B$4,2)</f>
        <v>16.26</v>
      </c>
      <c r="E65" s="49" t="n">
        <v>19</v>
      </c>
      <c r="F65" s="50" t="n">
        <v>0.5</v>
      </c>
      <c r="G65" s="58" t="str">
        <v>简繁中文</v>
      </c>
      <c r="H65" s="49" t="n">
        <v>3.98</v>
      </c>
      <c r="I65" s="51" t="n">
        <v>1994</v>
      </c>
      <c r="J65" s="52" t="n">
        <v>46288.95763888889</v>
      </c>
      <c r="K65" s="58" t="str">
        <v>未显示收录</v>
      </c>
      <c r="L65" s="60" t="str">
        <v>查看港服</v>
      </c>
      <c r="M65" s="64" t="str"/>
    </row>
    <row r="66" ht="36" customHeight="1">
      <c r="A66" s="55" t="n">
        <v>59</v>
      </c>
      <c r="B66" s="28" t="str">
        <v>Kona</v>
      </c>
      <c r="C66" s="57" t="str">
        <v>PS4 / PS5</v>
      </c>
      <c r="D66" s="30" t="n">
        <f>ROUND(E66*$B$4,2)</f>
        <v>15.92</v>
      </c>
      <c r="E66" s="31" t="n">
        <v>18.6</v>
      </c>
      <c r="F66" s="32" t="n">
        <v>0.85</v>
      </c>
      <c r="G66" s="57" t="str">
        <v>简体中文</v>
      </c>
      <c r="H66" s="31" t="n">
        <v>4.15</v>
      </c>
      <c r="I66" s="33" t="n">
        <v>1929</v>
      </c>
      <c r="J66" s="34" t="n">
        <v>46288.95763888889</v>
      </c>
      <c r="K66" s="57" t="str">
        <v>未显示收录</v>
      </c>
      <c r="L66" s="59" t="str">
        <v>查看港服</v>
      </c>
      <c r="M66" s="63" t="str"/>
    </row>
    <row r="67" ht="36" customHeight="1">
      <c r="A67" s="56" t="n">
        <v>60</v>
      </c>
      <c r="B67" s="46" t="str">
        <v>Isonzo - First Wave Edition</v>
      </c>
      <c r="C67" s="58" t="str">
        <v>PS4 / PS5</v>
      </c>
      <c r="D67" s="48" t="n">
        <f>ROUND(E67*$B$4,2)</f>
        <v>89.34</v>
      </c>
      <c r="E67" s="49" t="n">
        <v>104.4</v>
      </c>
      <c r="F67" s="50" t="n">
        <v>0.7</v>
      </c>
      <c r="G67" s="58" t="str">
        <v>简体中文</v>
      </c>
      <c r="H67" s="49" t="n">
        <v>3.98</v>
      </c>
      <c r="I67" s="51" t="n">
        <v>1796</v>
      </c>
      <c r="J67" s="52" t="n">
        <v>46288.95763888889</v>
      </c>
      <c r="K67" s="58" t="str">
        <v>未显示收录</v>
      </c>
      <c r="L67" s="60" t="str">
        <v>查看港服</v>
      </c>
      <c r="M67" s="64" t="str"/>
    </row>
    <row r="68" ht="36" customHeight="1">
      <c r="A68" s="55" t="n">
        <v>61</v>
      </c>
      <c r="B68" s="28" t="str">
        <v>恸哭之星（CRYSTAR）</v>
      </c>
      <c r="C68" s="57" t="str">
        <v>PS5</v>
      </c>
      <c r="D68" s="30" t="n">
        <f>ROUND(E68*$B$4,2)</f>
        <v>71.88</v>
      </c>
      <c r="E68" s="31" t="n">
        <v>84</v>
      </c>
      <c r="F68" s="32" t="n">
        <v>0.7</v>
      </c>
      <c r="G68" s="57" t="str">
        <v>繁体中文</v>
      </c>
      <c r="H68" s="31" t="n">
        <v>4.4</v>
      </c>
      <c r="I68" s="33" t="n">
        <v>1730</v>
      </c>
      <c r="J68" s="34" t="n">
        <v>46288.95763888889</v>
      </c>
      <c r="K68" s="57" t="str">
        <v>未显示收录</v>
      </c>
      <c r="L68" s="59" t="str">
        <v>查看港服</v>
      </c>
      <c r="M68" s="63" t="str"/>
    </row>
    <row r="69" ht="36" customHeight="1">
      <c r="A69" s="56" t="n">
        <v>62</v>
      </c>
      <c r="B69" s="46" t="str">
        <v>Moving Out 2</v>
      </c>
      <c r="C69" s="58" t="str">
        <v>PS4 / PS5</v>
      </c>
      <c r="D69" s="48" t="n">
        <f>ROUND(E69*$B$4,2)</f>
        <v>50.91</v>
      </c>
      <c r="E69" s="49" t="n">
        <v>59.5</v>
      </c>
      <c r="F69" s="50" t="n">
        <v>0.75</v>
      </c>
      <c r="G69" s="58" t="str">
        <v>简繁中文</v>
      </c>
      <c r="H69" s="49" t="n">
        <v>4.21</v>
      </c>
      <c r="I69" s="51" t="n">
        <v>1700</v>
      </c>
      <c r="J69" s="52" t="n">
        <v>46288.95763888889</v>
      </c>
      <c r="K69" s="58" t="str">
        <v>未显示收录</v>
      </c>
      <c r="L69" s="60" t="str">
        <v>查看港服</v>
      </c>
      <c r="M69" s="64" t="str"/>
    </row>
    <row r="70" ht="36" customHeight="1">
      <c r="A70" s="55" t="n">
        <v>63</v>
      </c>
      <c r="B70" s="28" t="str">
        <v>Eternal Strands</v>
      </c>
      <c r="C70" s="57" t="str">
        <v>PS5</v>
      </c>
      <c r="D70" s="30" t="n">
        <f>ROUND(E70*$B$4,2)</f>
        <v>61.1</v>
      </c>
      <c r="E70" s="31" t="n">
        <v>71.4</v>
      </c>
      <c r="F70" s="32" t="n">
        <v>0.7</v>
      </c>
      <c r="G70" s="57" t="str">
        <v>简体中文</v>
      </c>
      <c r="H70" s="31" t="n">
        <v>4.26</v>
      </c>
      <c r="I70" s="33" t="n">
        <v>1642</v>
      </c>
      <c r="J70" s="34" t="n">
        <v>46288.95763888889</v>
      </c>
      <c r="K70" s="57" t="str">
        <v>未显示收录</v>
      </c>
      <c r="L70" s="59" t="str">
        <v>查看港服</v>
      </c>
      <c r="M70" s="63" t="str"/>
    </row>
    <row r="71" ht="36" customHeight="1">
      <c r="A71" s="56" t="n">
        <v>64</v>
      </c>
      <c r="B71" s="46" t="str">
        <v>Formula Legends</v>
      </c>
      <c r="C71" s="58" t="str">
        <v>PS5</v>
      </c>
      <c r="D71" s="48" t="n">
        <f>ROUND(E71*$B$4,2)</f>
        <v>63.32</v>
      </c>
      <c r="E71" s="49" t="n">
        <v>74</v>
      </c>
      <c r="F71" s="50" t="n">
        <v>0.5</v>
      </c>
      <c r="G71" s="58" t="str">
        <v>简繁中文</v>
      </c>
      <c r="H71" s="49" t="n">
        <v>3.71</v>
      </c>
      <c r="I71" s="51" t="n">
        <v>1537</v>
      </c>
      <c r="J71" s="52" t="n">
        <v>46288.95763888889</v>
      </c>
      <c r="K71" s="58" t="str">
        <v>未显示收录</v>
      </c>
      <c r="L71" s="60" t="str">
        <v>查看港服</v>
      </c>
      <c r="M71" s="64" t="str"/>
    </row>
    <row r="72" ht="36" customHeight="1">
      <c r="A72" s="55" t="n">
        <v>65</v>
      </c>
      <c r="B72" s="28" t="str">
        <v>MOTORSLICE</v>
      </c>
      <c r="C72" s="57" t="str">
        <v>PS5</v>
      </c>
      <c r="D72" s="30" t="n">
        <f>ROUND(E72*$B$4,2)</f>
        <v>83.17</v>
      </c>
      <c r="E72" s="31" t="n">
        <v>97.2</v>
      </c>
      <c r="F72" s="32" t="n">
        <v>0.1</v>
      </c>
      <c r="G72" s="57" t="str">
        <v>简繁中文</v>
      </c>
      <c r="H72" s="31" t="n">
        <v>4.54</v>
      </c>
      <c r="I72" s="33" t="n">
        <v>1522</v>
      </c>
      <c r="J72" s="34" t="n">
        <v>46288.95763888889</v>
      </c>
      <c r="K72" s="57" t="str">
        <v>未显示收录</v>
      </c>
      <c r="L72" s="59" t="str">
        <v>查看港服</v>
      </c>
      <c r="M72" s="63" t="str"/>
    </row>
    <row r="73" ht="36" customHeight="1">
      <c r="A73" s="56" t="n">
        <v>66</v>
      </c>
      <c r="B73" s="46" t="str">
        <v>Shadowrun: Dragonfall - Director's Cut</v>
      </c>
      <c r="C73" s="58" t="str">
        <v>PS4 / PS5</v>
      </c>
      <c r="D73" s="48" t="n">
        <f>ROUND(E73*$B$4,2)</f>
        <v>31.66</v>
      </c>
      <c r="E73" s="49" t="n">
        <v>37</v>
      </c>
      <c r="F73" s="50" t="n">
        <v>0.75</v>
      </c>
      <c r="G73" s="58" t="str">
        <v>未列中文</v>
      </c>
      <c r="H73" s="49" t="n">
        <v>3.84</v>
      </c>
      <c r="I73" s="51" t="n">
        <v>1403</v>
      </c>
      <c r="J73" s="52" t="n">
        <v>46288.95763888889</v>
      </c>
      <c r="K73" s="58" t="str">
        <v>未显示收录</v>
      </c>
      <c r="L73" s="60" t="str">
        <v>查看港服</v>
      </c>
      <c r="M73" s="64" t="str"/>
    </row>
    <row r="74" ht="36" customHeight="1">
      <c r="A74" s="55" t="n">
        <v>67</v>
      </c>
      <c r="B74" s="28" t="str">
        <v>Wildgate - Renegade Edition</v>
      </c>
      <c r="C74" s="57" t="str">
        <v>PS5</v>
      </c>
      <c r="D74" s="30" t="n">
        <f>ROUND(E74*$B$4,2)</f>
        <v>65.89</v>
      </c>
      <c r="E74" s="31" t="n">
        <v>77</v>
      </c>
      <c r="F74" s="32" t="n">
        <v>0.75</v>
      </c>
      <c r="G74" s="57" t="str">
        <v>简繁中文</v>
      </c>
      <c r="H74" s="31" t="n">
        <v>4.3</v>
      </c>
      <c r="I74" s="33" t="n">
        <v>1358</v>
      </c>
      <c r="J74" s="34" t="n">
        <v>46288.95763888889</v>
      </c>
      <c r="K74" s="57" t="str">
        <v>未显示收录</v>
      </c>
      <c r="L74" s="59" t="str">
        <v>查看港服</v>
      </c>
      <c r="M74" s="63" t="str">
        <v>另有限时试玩</v>
      </c>
    </row>
    <row r="75" ht="36" customHeight="1">
      <c r="A75" s="56" t="n">
        <v>68</v>
      </c>
      <c r="B75" s="46" t="str">
        <v>Bendy and the Ink Machine</v>
      </c>
      <c r="C75" s="58" t="str">
        <v>PS5</v>
      </c>
      <c r="D75" s="48" t="n">
        <f>ROUND(E75*$B$4,2)</f>
        <v>37.99</v>
      </c>
      <c r="E75" s="49" t="n">
        <v>44.4</v>
      </c>
      <c r="F75" s="50" t="n">
        <v>0.7</v>
      </c>
      <c r="G75" s="58" t="str">
        <v>简繁中文</v>
      </c>
      <c r="H75" s="49" t="n">
        <v>4.6</v>
      </c>
      <c r="I75" s="51" t="n">
        <v>1220</v>
      </c>
      <c r="J75" s="52" t="n">
        <v>46288.95763888889</v>
      </c>
      <c r="K75" s="58" t="str">
        <v>未显示收录</v>
      </c>
      <c r="L75" s="60" t="str">
        <v>查看港服</v>
      </c>
      <c r="M75" s="64" t="str"/>
    </row>
    <row r="76" ht="36" customHeight="1">
      <c r="A76" s="55" t="n">
        <v>69</v>
      </c>
      <c r="B76" s="28" t="str">
        <v>MotoGP™22 PS4 &amp; PS5</v>
      </c>
      <c r="C76" s="57" t="str">
        <v>PS4 / PS5</v>
      </c>
      <c r="D76" s="30" t="n">
        <f>ROUND(E76*$B$4,2)</f>
        <v>30.55</v>
      </c>
      <c r="E76" s="31" t="n">
        <v>35.7</v>
      </c>
      <c r="F76" s="32" t="n">
        <v>0.85</v>
      </c>
      <c r="G76" s="57" t="str">
        <v>简繁中文</v>
      </c>
      <c r="H76" s="31" t="n">
        <v>3.67</v>
      </c>
      <c r="I76" s="33" t="n">
        <v>1178</v>
      </c>
      <c r="J76" s="34" t="n">
        <v>46288.95763888889</v>
      </c>
      <c r="K76" s="57" t="str">
        <v>未显示收录</v>
      </c>
      <c r="L76" s="59" t="str">
        <v>查看港服</v>
      </c>
      <c r="M76" s="63" t="str"/>
    </row>
    <row r="77" ht="36" customHeight="1">
      <c r="A77" s="56" t="n">
        <v>70</v>
      </c>
      <c r="B77" s="46" t="str">
        <v>Source of Madness</v>
      </c>
      <c r="C77" s="58" t="str">
        <v>PS5</v>
      </c>
      <c r="D77" s="48" t="n">
        <f>ROUND(E77*$B$4,2)</f>
        <v>19</v>
      </c>
      <c r="E77" s="49" t="n">
        <v>22.2</v>
      </c>
      <c r="F77" s="50" t="n">
        <v>0.85</v>
      </c>
      <c r="G77" s="58" t="str">
        <v>简体中文</v>
      </c>
      <c r="H77" s="49" t="n">
        <v>3.3</v>
      </c>
      <c r="I77" s="51" t="n">
        <v>1165</v>
      </c>
      <c r="J77" s="52" t="n">
        <v>46288.95763888889</v>
      </c>
      <c r="K77" s="58" t="str">
        <v>未显示收录</v>
      </c>
      <c r="L77" s="60" t="str">
        <v>查看港服</v>
      </c>
      <c r="M77" s="64" t="str"/>
    </row>
    <row r="78" ht="36" customHeight="1">
      <c r="A78" s="55" t="n">
        <v>71</v>
      </c>
      <c r="B78" s="28" t="str">
        <v>Kill It With Fire</v>
      </c>
      <c r="C78" s="57" t="str">
        <v>PS4</v>
      </c>
      <c r="D78" s="30" t="n">
        <f>ROUND(E78*$B$4,2)</f>
        <v>23.1</v>
      </c>
      <c r="E78" s="31" t="n">
        <v>27</v>
      </c>
      <c r="F78" s="32" t="n">
        <v>0.75</v>
      </c>
      <c r="G78" s="57" t="str">
        <v>未列中文</v>
      </c>
      <c r="H78" s="31" t="n">
        <v>4.47</v>
      </c>
      <c r="I78" s="33" t="n">
        <v>1077</v>
      </c>
      <c r="J78" s="34" t="n">
        <v>46288.95763888889</v>
      </c>
      <c r="K78" s="57" t="str">
        <v>未显示收录</v>
      </c>
      <c r="L78" s="59" t="str">
        <v>查看港服</v>
      </c>
      <c r="M78" s="63" t="str">
        <v>表列普通折扣价；PS Plus或有额外折扣</v>
      </c>
    </row>
    <row r="79" ht="36" customHeight="1">
      <c r="A79" s="56" t="n">
        <v>72</v>
      </c>
      <c r="B79" s="46" t="str">
        <v>Neon Abyss</v>
      </c>
      <c r="C79" s="58" t="str">
        <v>PS4</v>
      </c>
      <c r="D79" s="48" t="n">
        <f>ROUND(E79*$B$4,2)</f>
        <v>31.66</v>
      </c>
      <c r="E79" s="49" t="n">
        <v>37</v>
      </c>
      <c r="F79" s="50" t="n">
        <v>0.75</v>
      </c>
      <c r="G79" s="58" t="str">
        <v>简繁中文</v>
      </c>
      <c r="H79" s="49" t="n">
        <v>4.14</v>
      </c>
      <c r="I79" s="51" t="n">
        <v>1045</v>
      </c>
      <c r="J79" s="52" t="n">
        <v>46288.95763888889</v>
      </c>
      <c r="K79" s="58" t="str">
        <v>未显示收录</v>
      </c>
      <c r="L79" s="60" t="str">
        <v>查看港服</v>
      </c>
      <c r="M79" s="64" t="str"/>
    </row>
    <row r="80" ht="36" customHeight="1">
      <c r="A80" s="55" t="n">
        <v>73</v>
      </c>
      <c r="B80" s="28" t="str">
        <v>Waterpark Simulator 25</v>
      </c>
      <c r="C80" s="57" t="str">
        <v>PS4</v>
      </c>
      <c r="D80" s="30" t="n">
        <f>ROUND(E80*$B$4,2)</f>
        <v>36.71</v>
      </c>
      <c r="E80" s="31" t="n">
        <v>42.9</v>
      </c>
      <c r="F80" s="32" t="n">
        <v>0.45</v>
      </c>
      <c r="G80" s="57" t="str">
        <v>未列中文</v>
      </c>
      <c r="H80" s="31" t="n">
        <v>1.3</v>
      </c>
      <c r="I80" s="33" t="n">
        <v>1010</v>
      </c>
      <c r="J80" s="34" t="n">
        <v>46288.95763888889</v>
      </c>
      <c r="K80" s="57" t="str">
        <v>未显示收录</v>
      </c>
      <c r="L80" s="59" t="str">
        <v>查看港服</v>
      </c>
      <c r="M80" s="63" t="str">
        <v>表列普通折扣价；PS Plus或有额外折扣</v>
      </c>
    </row>
    <row r="81" ht="36" customHeight="1">
      <c r="A81" s="56" t="n">
        <v>74</v>
      </c>
      <c r="B81" s="46" t="str">
        <v>LABYRINTH OF THE DEMON KING</v>
      </c>
      <c r="C81" s="58" t="str">
        <v>PS4 / PS5</v>
      </c>
      <c r="D81" s="48" t="n">
        <f>ROUND(E81*$B$4,2)</f>
        <v>94.98</v>
      </c>
      <c r="E81" s="49" t="n">
        <v>111</v>
      </c>
      <c r="F81" s="50" t="n">
        <v>0.25</v>
      </c>
      <c r="G81" s="58" t="str">
        <v>简繁中文</v>
      </c>
      <c r="H81" s="49" t="n">
        <v>4.38</v>
      </c>
      <c r="I81" s="51" t="n">
        <v>1008</v>
      </c>
      <c r="J81" s="52" t="n">
        <v>46288.95763888889</v>
      </c>
      <c r="K81" s="58" t="str">
        <v>未显示收录</v>
      </c>
      <c r="L81" s="60" t="str">
        <v>查看港服</v>
      </c>
      <c r="M81" s="64" t="str"/>
    </row>
    <row r="82" ht="44" customHeight="1">
      <c r="A82" s="55" t="n">
        <v>75</v>
      </c>
      <c r="B82" s="28" t="str">
        <v>Airplane Flight Simulator : EVO &amp; Airplane Flight Simulator : Combat Zone Bundle</v>
      </c>
      <c r="C82" s="57" t="str">
        <v>PS4 / PS5</v>
      </c>
      <c r="D82" s="30" t="n">
        <f>ROUND(E82*$B$4,2)</f>
        <v>77.97</v>
      </c>
      <c r="E82" s="31" t="n">
        <v>91.12</v>
      </c>
      <c r="F82" s="32" t="n">
        <v>0.66</v>
      </c>
      <c r="G82" s="57" t="str">
        <v>未列中文</v>
      </c>
      <c r="H82" s="31" t="n">
        <v>2.61</v>
      </c>
      <c r="I82" s="33" t="n">
        <v>996</v>
      </c>
      <c r="J82" s="34" t="n">
        <v>46288.95763888889</v>
      </c>
      <c r="K82" s="57" t="str">
        <v>未显示收录</v>
      </c>
      <c r="L82" s="59" t="str">
        <v>查看港服</v>
      </c>
      <c r="M82" s="63" t="str"/>
    </row>
    <row r="83" ht="36" customHeight="1">
      <c r="A83" s="56" t="n">
        <v>76</v>
      </c>
      <c r="B83" s="46" t="str">
        <v>LET IT DIE: INFERNO</v>
      </c>
      <c r="C83" s="58" t="str">
        <v>PS5</v>
      </c>
      <c r="D83" s="48" t="n">
        <f>ROUND(E83*$B$4,2)</f>
        <v>84.71</v>
      </c>
      <c r="E83" s="49" t="n">
        <v>99</v>
      </c>
      <c r="F83" s="50" t="n">
        <v>0.5</v>
      </c>
      <c r="G83" s="58" t="str">
        <v>简繁中文</v>
      </c>
      <c r="H83" s="49" t="n">
        <v>2.88</v>
      </c>
      <c r="I83" s="51" t="n">
        <v>954</v>
      </c>
      <c r="J83" s="52" t="n">
        <v>46288.95763888889</v>
      </c>
      <c r="K83" s="58" t="str">
        <v>未显示收录</v>
      </c>
      <c r="L83" s="60" t="str">
        <v>查看港服</v>
      </c>
      <c r="M83" s="64" t="str"/>
    </row>
    <row r="84" ht="36" customHeight="1">
      <c r="A84" s="55" t="n">
        <v>77</v>
      </c>
      <c r="B84" s="28" t="str">
        <v>We Were Here Forever</v>
      </c>
      <c r="C84" s="57" t="str">
        <v>PS4 / PS5</v>
      </c>
      <c r="D84" s="30" t="n">
        <f>ROUND(E84*$B$4,2)</f>
        <v>36.97</v>
      </c>
      <c r="E84" s="31" t="n">
        <v>43.2</v>
      </c>
      <c r="F84" s="32" t="n">
        <v>0.6</v>
      </c>
      <c r="G84" s="57" t="str">
        <v>简繁中文</v>
      </c>
      <c r="H84" s="31" t="n">
        <v>4.56</v>
      </c>
      <c r="I84" s="33" t="n">
        <v>953</v>
      </c>
      <c r="J84" s="34" t="n">
        <v>46288.95763888889</v>
      </c>
      <c r="K84" s="57" t="str">
        <v>未显示收录</v>
      </c>
      <c r="L84" s="59" t="str">
        <v>查看港服</v>
      </c>
      <c r="M84" s="63" t="str"/>
    </row>
    <row r="85" ht="36" customHeight="1">
      <c r="A85" s="56" t="n">
        <v>78</v>
      </c>
      <c r="B85" s="46" t="str">
        <v>《King's Bounty II Lord's Edition》</v>
      </c>
      <c r="C85" s="58" t="str">
        <v>PS4 / PS5</v>
      </c>
      <c r="D85" s="48" t="n">
        <f>ROUND(E85*$B$4,2)</f>
        <v>44.67</v>
      </c>
      <c r="E85" s="49" t="n">
        <v>52.2</v>
      </c>
      <c r="F85" s="50" t="n">
        <v>0.85</v>
      </c>
      <c r="G85" s="58" t="str">
        <v>简繁中文</v>
      </c>
      <c r="H85" s="49" t="n">
        <v>3.89</v>
      </c>
      <c r="I85" s="51" t="n">
        <v>950</v>
      </c>
      <c r="J85" s="52" t="n">
        <v>46288.95763888889</v>
      </c>
      <c r="K85" s="58" t="str">
        <v>未显示收录</v>
      </c>
      <c r="L85" s="60" t="str">
        <v>查看港服</v>
      </c>
      <c r="M85" s="64" t="str"/>
    </row>
    <row r="86" ht="36" customHeight="1">
      <c r="A86" s="55" t="n">
        <v>79</v>
      </c>
      <c r="B86" s="28" t="str">
        <v>美女，請別影響我學習</v>
      </c>
      <c r="C86" s="57" t="str">
        <v>PS4</v>
      </c>
      <c r="D86" s="30" t="n">
        <f>ROUND(E86*$B$4,2)</f>
        <v>41.33</v>
      </c>
      <c r="E86" s="31" t="n">
        <v>48.3</v>
      </c>
      <c r="F86" s="32" t="n">
        <v>0.3</v>
      </c>
      <c r="G86" s="57" t="str">
        <v>简繁中文</v>
      </c>
      <c r="H86" s="31" t="n">
        <v>4.39</v>
      </c>
      <c r="I86" s="33" t="n">
        <v>936</v>
      </c>
      <c r="J86" s="34" t="n">
        <v>46288.95763888889</v>
      </c>
      <c r="K86" s="57" t="str">
        <v>未显示收录</v>
      </c>
      <c r="L86" s="59" t="str">
        <v>查看港服</v>
      </c>
      <c r="M86" s="63" t="str"/>
    </row>
    <row r="87" ht="36" customHeight="1">
      <c r="A87" s="56" t="n">
        <v>80</v>
      </c>
      <c r="B87" s="46" t="str">
        <v>ALVO VR</v>
      </c>
      <c r="C87" s="58" t="str">
        <v>PS4</v>
      </c>
      <c r="D87" s="48" t="n">
        <f>ROUND(E87*$B$4,2)</f>
        <v>55.45</v>
      </c>
      <c r="E87" s="49" t="n">
        <v>64.8</v>
      </c>
      <c r="F87" s="50" t="n">
        <v>0.4</v>
      </c>
      <c r="G87" s="58" t="str">
        <v>简繁中文</v>
      </c>
      <c r="H87" s="49" t="n">
        <v>3.78</v>
      </c>
      <c r="I87" s="51" t="n">
        <v>925</v>
      </c>
      <c r="J87" s="52" t="n">
        <v>46288.95763888889</v>
      </c>
      <c r="K87" s="58" t="str">
        <v>未显示收录</v>
      </c>
      <c r="L87" s="60" t="str">
        <v>查看港服</v>
      </c>
      <c r="M87" s="64" t="str">
        <v>含VR相关要求，购买前查看商品页</v>
      </c>
    </row>
    <row r="88" ht="36" customHeight="1">
      <c r="A88" s="55" t="n">
        <v>81</v>
      </c>
      <c r="B88" s="28" t="str">
        <v>Armikrog</v>
      </c>
      <c r="C88" s="57" t="str">
        <v>PS4</v>
      </c>
      <c r="D88" s="30" t="n">
        <f>ROUND(E88*$B$4,2)</f>
        <v>16.69</v>
      </c>
      <c r="E88" s="31" t="n">
        <v>19.5</v>
      </c>
      <c r="F88" s="32" t="n">
        <v>0.75</v>
      </c>
      <c r="G88" s="57" t="str">
        <v>未列中文</v>
      </c>
      <c r="H88" s="31" t="n">
        <v>4.01</v>
      </c>
      <c r="I88" s="33" t="n">
        <v>906</v>
      </c>
      <c r="J88" s="34" t="n">
        <v>46288.95763888889</v>
      </c>
      <c r="K88" s="57" t="str">
        <v>未显示收录</v>
      </c>
      <c r="L88" s="59" t="str">
        <v>查看港服</v>
      </c>
      <c r="M88" s="63" t="str">
        <v>表列普通折扣价；PS Plus或有额外折扣</v>
      </c>
    </row>
    <row r="89" ht="36" customHeight="1">
      <c r="A89" s="56" t="n">
        <v>82</v>
      </c>
      <c r="B89" s="46" t="str">
        <v>Hellsweeper VR</v>
      </c>
      <c r="C89" s="58" t="str">
        <v>PS5</v>
      </c>
      <c r="D89" s="48" t="n">
        <f>ROUND(E89*$B$4,2)</f>
        <v>44.33</v>
      </c>
      <c r="E89" s="49" t="n">
        <v>51.8</v>
      </c>
      <c r="F89" s="50" t="n">
        <v>0.65</v>
      </c>
      <c r="G89" s="58" t="str">
        <v>简繁中文</v>
      </c>
      <c r="H89" s="49" t="n">
        <v>4.34</v>
      </c>
      <c r="I89" s="51" t="n">
        <v>886</v>
      </c>
      <c r="J89" s="52" t="n">
        <v>46288.95763888889</v>
      </c>
      <c r="K89" s="58" t="str">
        <v>未显示收录</v>
      </c>
      <c r="L89" s="60" t="str">
        <v>查看港服</v>
      </c>
      <c r="M89" s="64" t="str">
        <v>含VR相关要求，购买前查看商品页</v>
      </c>
    </row>
    <row r="90" ht="36" customHeight="1">
      <c r="A90" s="55" t="n">
        <v>83</v>
      </c>
      <c r="B90" s="28" t="str">
        <v>Broforce x Anger Foot Bundle</v>
      </c>
      <c r="C90" s="57" t="str">
        <v>PS4 / PS5</v>
      </c>
      <c r="D90" s="30" t="n">
        <f>ROUND(E90*$B$4,2)</f>
        <v>61.1</v>
      </c>
      <c r="E90" s="31" t="n">
        <v>71.4</v>
      </c>
      <c r="F90" s="32" t="n">
        <v>0.7</v>
      </c>
      <c r="G90" s="57" t="str">
        <v>简繁中文</v>
      </c>
      <c r="H90" s="31" t="n">
        <v>4.57</v>
      </c>
      <c r="I90" s="33" t="n">
        <v>875</v>
      </c>
      <c r="J90" s="34" t="n">
        <v>46288.95763888889</v>
      </c>
      <c r="K90" s="57" t="str">
        <v>未显示收录</v>
      </c>
      <c r="L90" s="59" t="str">
        <v>查看港服</v>
      </c>
      <c r="M90" s="63" t="str"/>
    </row>
    <row r="91" ht="44" customHeight="1">
      <c r="A91" s="56" t="n">
        <v>84</v>
      </c>
      <c r="B91" s="46" t="str">
        <v>Lost in Random: The Eternal Die - 《迷失蘭登：永恆骰子》</v>
      </c>
      <c r="C91" s="58" t="str">
        <v>PS5</v>
      </c>
      <c r="D91" s="48" t="n">
        <f>ROUND(E91*$B$4,2)</f>
        <v>84.71</v>
      </c>
      <c r="E91" s="49" t="n">
        <v>99</v>
      </c>
      <c r="F91" s="50" t="n">
        <v>0.5</v>
      </c>
      <c r="G91" s="58" t="str">
        <v>简繁中文</v>
      </c>
      <c r="H91" s="49" t="n">
        <v>4.39</v>
      </c>
      <c r="I91" s="51" t="n">
        <v>861</v>
      </c>
      <c r="J91" s="52" t="n">
        <v>46288.95763888889</v>
      </c>
      <c r="K91" s="58" t="str">
        <v>未显示收录</v>
      </c>
      <c r="L91" s="60" t="str">
        <v>查看港服</v>
      </c>
      <c r="M91" s="64" t="str"/>
    </row>
    <row r="92" ht="36" customHeight="1">
      <c r="A92" s="55" t="n">
        <v>85</v>
      </c>
      <c r="B92" s="28" t="str">
        <v>Heretic + Hexen</v>
      </c>
      <c r="C92" s="57" t="str">
        <v>PS4 / PS5</v>
      </c>
      <c r="D92" s="30" t="n">
        <f>ROUND(E92*$B$4,2)</f>
        <v>62.49</v>
      </c>
      <c r="E92" s="31" t="n">
        <v>73.03</v>
      </c>
      <c r="F92" s="32" t="n">
        <v>0.33</v>
      </c>
      <c r="G92" s="57" t="str">
        <v>简繁中文</v>
      </c>
      <c r="H92" s="31" t="n">
        <v>4.83</v>
      </c>
      <c r="I92" s="33" t="n">
        <v>857</v>
      </c>
      <c r="J92" s="34" t="n">
        <v>46288.95763888889</v>
      </c>
      <c r="K92" s="57" t="str">
        <v>未显示收录</v>
      </c>
      <c r="L92" s="59" t="str">
        <v>查看港服</v>
      </c>
      <c r="M92" s="63" t="str"/>
    </row>
    <row r="93" ht="36" customHeight="1">
      <c r="A93" s="56" t="n">
        <v>86</v>
      </c>
      <c r="B93" s="46" t="str">
        <v>Windbound [風暴擱淺]</v>
      </c>
      <c r="C93" s="58" t="str">
        <v>PS4</v>
      </c>
      <c r="D93" s="48" t="n">
        <f>ROUND(E93*$B$4,2)</f>
        <v>19</v>
      </c>
      <c r="E93" s="49" t="n">
        <v>22.2</v>
      </c>
      <c r="F93" s="50" t="n">
        <v>0.85</v>
      </c>
      <c r="G93" s="58" t="str">
        <v>未列中文</v>
      </c>
      <c r="H93" s="49" t="n">
        <v>3.57</v>
      </c>
      <c r="I93" s="51" t="n">
        <v>852</v>
      </c>
      <c r="J93" s="52" t="n">
        <v>46288.95763888889</v>
      </c>
      <c r="K93" s="58" t="str">
        <v>未显示收录</v>
      </c>
      <c r="L93" s="60" t="str">
        <v>查看港服</v>
      </c>
      <c r="M93" s="64" t="str"/>
    </row>
    <row r="94" ht="36" customHeight="1">
      <c r="A94" s="55" t="n">
        <v>87</v>
      </c>
      <c r="B94" s="28" t="str">
        <v>A Fisherman's Tale</v>
      </c>
      <c r="C94" s="57" t="str">
        <v>PS5</v>
      </c>
      <c r="D94" s="30" t="n">
        <f>ROUND(E94*$B$4,2)</f>
        <v>26.7</v>
      </c>
      <c r="E94" s="31" t="n">
        <v>31.2</v>
      </c>
      <c r="F94" s="32" t="n">
        <v>0.6</v>
      </c>
      <c r="G94" s="57" t="str">
        <v>简体中文</v>
      </c>
      <c r="H94" s="31" t="n">
        <v>4.36</v>
      </c>
      <c r="I94" s="33" t="n">
        <v>845</v>
      </c>
      <c r="J94" s="34" t="n">
        <v>46288.95763888889</v>
      </c>
      <c r="K94" s="57" t="str">
        <v>未显示收录</v>
      </c>
      <c r="L94" s="59" t="str">
        <v>查看港服</v>
      </c>
      <c r="M94" s="63" t="str">
        <v>含VR相关要求，购买前查看商品页</v>
      </c>
    </row>
    <row r="95" ht="36" customHeight="1">
      <c r="A95" s="56" t="n">
        <v>88</v>
      </c>
      <c r="B95" s="46" t="str">
        <v>《The Fisherman's Tales》捆绑包</v>
      </c>
      <c r="C95" s="58" t="str">
        <v>PS5</v>
      </c>
      <c r="D95" s="48" t="n">
        <f>ROUND(E95*$B$4,2)</f>
        <v>41.79</v>
      </c>
      <c r="E95" s="49" t="n">
        <v>48.84</v>
      </c>
      <c r="F95" s="50" t="n">
        <v>0.67</v>
      </c>
      <c r="G95" s="58" t="str">
        <v>简繁中文</v>
      </c>
      <c r="H95" s="49" t="n">
        <v>4.36</v>
      </c>
      <c r="I95" s="51" t="n">
        <v>845</v>
      </c>
      <c r="J95" s="52" t="n">
        <v>46288.95763888889</v>
      </c>
      <c r="K95" s="58" t="str">
        <v>未显示收录</v>
      </c>
      <c r="L95" s="60" t="str">
        <v>查看港服</v>
      </c>
      <c r="M95" s="64" t="str">
        <v>含VR相关要求，购买前查看商品页</v>
      </c>
    </row>
    <row r="96" ht="36" customHeight="1">
      <c r="A96" s="55" t="n">
        <v>89</v>
      </c>
      <c r="B96" s="28" t="str">
        <v>SNK VS. CAPCOM SVC CHAOS (PS4)</v>
      </c>
      <c r="C96" s="57" t="str">
        <v>PS4</v>
      </c>
      <c r="D96" s="30" t="n">
        <f>ROUND(E96*$B$4,2)</f>
        <v>80.44</v>
      </c>
      <c r="E96" s="31" t="n">
        <v>94</v>
      </c>
      <c r="F96" s="32" t="n">
        <v>0.5</v>
      </c>
      <c r="G96" s="57" t="str">
        <v>未列中文</v>
      </c>
      <c r="H96" s="31" t="n">
        <v>4.43</v>
      </c>
      <c r="I96" s="33" t="n">
        <v>828</v>
      </c>
      <c r="J96" s="34" t="n">
        <v>46288.95763888889</v>
      </c>
      <c r="K96" s="57" t="str">
        <v>未显示收录</v>
      </c>
      <c r="L96" s="59" t="str">
        <v>查看港服</v>
      </c>
      <c r="M96" s="63" t="str"/>
    </row>
    <row r="97" ht="36" customHeight="1">
      <c r="A97" s="56" t="n">
        <v>90</v>
      </c>
      <c r="B97" s="46" t="str">
        <v>Iron Harvest - Complete Edition</v>
      </c>
      <c r="C97" s="58" t="str">
        <v>PS5</v>
      </c>
      <c r="D97" s="48" t="n">
        <f>ROUND(E97*$B$4,2)</f>
        <v>51.09</v>
      </c>
      <c r="E97" s="49" t="n">
        <v>59.7</v>
      </c>
      <c r="F97" s="50" t="n">
        <v>0.85</v>
      </c>
      <c r="G97" s="58" t="str">
        <v>简繁中文</v>
      </c>
      <c r="H97" s="49" t="n">
        <v>3.71</v>
      </c>
      <c r="I97" s="51" t="n">
        <v>771</v>
      </c>
      <c r="J97" s="52" t="n">
        <v>46288.95763888889</v>
      </c>
      <c r="K97" s="58" t="str">
        <v>未显示收录</v>
      </c>
      <c r="L97" s="60" t="str">
        <v>查看港服</v>
      </c>
      <c r="M97" s="64" t="str"/>
    </row>
    <row r="98" ht="44" customHeight="1">
      <c r="A98" s="55" t="n">
        <v>91</v>
      </c>
      <c r="B98" s="28" t="str">
        <v>Focus Indies Bundle - Curse of the Dead Gods + Shady Part of Me + Aeon Must Die!</v>
      </c>
      <c r="C98" s="57" t="str">
        <v>PS4</v>
      </c>
      <c r="D98" s="30" t="n">
        <f>ROUND(E98*$B$4,2)</f>
        <v>65.89</v>
      </c>
      <c r="E98" s="31" t="n">
        <v>77</v>
      </c>
      <c r="F98" s="32" t="n">
        <v>0.75</v>
      </c>
      <c r="G98" s="57" t="str">
        <v>简繁中文</v>
      </c>
      <c r="H98" s="31" t="n">
        <v>4.57</v>
      </c>
      <c r="I98" s="33" t="n">
        <v>742</v>
      </c>
      <c r="J98" s="34" t="n">
        <v>46288.95763888889</v>
      </c>
      <c r="K98" s="57" t="str">
        <v>未显示收录</v>
      </c>
      <c r="L98" s="59" t="str">
        <v>查看港服</v>
      </c>
      <c r="M98" s="63" t="str"/>
    </row>
    <row r="99" ht="36" customHeight="1">
      <c r="A99" s="56" t="n">
        <v>92</v>
      </c>
      <c r="B99" s="46" t="str">
        <v>Necromunda: Underhive Wars</v>
      </c>
      <c r="C99" s="58" t="str">
        <v>PS4</v>
      </c>
      <c r="D99" s="48" t="n">
        <f>ROUND(E99*$B$4,2)</f>
        <v>25.33</v>
      </c>
      <c r="E99" s="49" t="n">
        <v>29.6</v>
      </c>
      <c r="F99" s="50" t="n">
        <v>0.8</v>
      </c>
      <c r="G99" s="58" t="str">
        <v>简体中文</v>
      </c>
      <c r="H99" s="49" t="n">
        <v>3.2</v>
      </c>
      <c r="I99" s="51" t="n">
        <v>739</v>
      </c>
      <c r="J99" s="52" t="n">
        <v>46288.95763888889</v>
      </c>
      <c r="K99" s="58" t="str">
        <v>未显示收录</v>
      </c>
      <c r="L99" s="60" t="str">
        <v>查看港服</v>
      </c>
      <c r="M99" s="64" t="str"/>
    </row>
    <row r="100" ht="36" customHeight="1">
      <c r="A100" s="55" t="n">
        <v>93</v>
      </c>
      <c r="B100" s="28" t="str">
        <v>Laika: Aged Through Blood</v>
      </c>
      <c r="C100" s="57" t="str">
        <v>PS4 / PS5</v>
      </c>
      <c r="D100" s="30" t="n">
        <f>ROUND(E100*$B$4,2)</f>
        <v>31.66</v>
      </c>
      <c r="E100" s="31" t="n">
        <v>37</v>
      </c>
      <c r="F100" s="32" t="n">
        <v>0.75</v>
      </c>
      <c r="G100" s="57" t="str">
        <v>简体中文</v>
      </c>
      <c r="H100" s="31" t="n">
        <v>4.32</v>
      </c>
      <c r="I100" s="33" t="n">
        <v>738</v>
      </c>
      <c r="J100" s="34" t="n">
        <v>46288.95763888889</v>
      </c>
      <c r="K100" s="57" t="str">
        <v>未显示收录</v>
      </c>
      <c r="L100" s="59" t="str">
        <v>查看港服</v>
      </c>
      <c r="M100" s="63" t="str"/>
    </row>
    <row r="101" ht="36" customHeight="1">
      <c r="A101" s="56" t="n">
        <v>94</v>
      </c>
      <c r="B101" s="46" t="str">
        <v>《Legacy of Kain: Ascendance》</v>
      </c>
      <c r="C101" s="58" t="str">
        <v>PS5</v>
      </c>
      <c r="D101" s="48" t="n">
        <f>ROUND(E101*$B$4,2)</f>
        <v>63.32</v>
      </c>
      <c r="E101" s="49" t="n">
        <v>74</v>
      </c>
      <c r="F101" s="50" t="n">
        <v>0.5</v>
      </c>
      <c r="G101" s="58" t="str">
        <v>简体中文</v>
      </c>
      <c r="H101" s="49" t="n">
        <v>3.17</v>
      </c>
      <c r="I101" s="51" t="n">
        <v>729</v>
      </c>
      <c r="J101" s="52" t="n">
        <v>46288.95763888889</v>
      </c>
      <c r="K101" s="58" t="str">
        <v>未显示收录</v>
      </c>
      <c r="L101" s="60" t="str">
        <v>查看港服</v>
      </c>
      <c r="M101" s="64" t="str"/>
    </row>
    <row r="102" ht="36" customHeight="1">
      <c r="A102" s="55" t="n">
        <v>95</v>
      </c>
      <c r="B102" s="28" t="str">
        <v>Stray Souls</v>
      </c>
      <c r="C102" s="57" t="str">
        <v>PS4 / PS5</v>
      </c>
      <c r="D102" s="30" t="n">
        <f>ROUND(E102*$B$4,2)</f>
        <v>50.91</v>
      </c>
      <c r="E102" s="31" t="n">
        <v>59.5</v>
      </c>
      <c r="F102" s="32" t="n">
        <v>0.75</v>
      </c>
      <c r="G102" s="57" t="str">
        <v>简繁中文</v>
      </c>
      <c r="H102" s="31" t="n">
        <v>2.56</v>
      </c>
      <c r="I102" s="33" t="n">
        <v>713</v>
      </c>
      <c r="J102" s="34" t="n">
        <v>46288.95763888889</v>
      </c>
      <c r="K102" s="57" t="str">
        <v>未显示收录</v>
      </c>
      <c r="L102" s="59" t="str">
        <v>查看港服</v>
      </c>
      <c r="M102" s="63" t="str">
        <v>表列普通折扣价；PS Plus或有额外折扣</v>
      </c>
    </row>
    <row r="103" ht="36" customHeight="1">
      <c r="A103" s="56" t="n">
        <v>96</v>
      </c>
      <c r="B103" s="46" t="str">
        <v>International Boxing</v>
      </c>
      <c r="C103" s="58" t="str">
        <v>PS4</v>
      </c>
      <c r="D103" s="48" t="n">
        <f>ROUND(E103*$B$4,2)</f>
        <v>22.76</v>
      </c>
      <c r="E103" s="49" t="n">
        <v>26.6</v>
      </c>
      <c r="F103" s="50" t="n">
        <v>0.3</v>
      </c>
      <c r="G103" s="58" t="str">
        <v>未列中文</v>
      </c>
      <c r="H103" s="49" t="n">
        <v>1.51</v>
      </c>
      <c r="I103" s="51" t="n">
        <v>698</v>
      </c>
      <c r="J103" s="52" t="n">
        <v>46288.95763888889</v>
      </c>
      <c r="K103" s="58" t="str">
        <v>未显示收录</v>
      </c>
      <c r="L103" s="60" t="str">
        <v>查看港服</v>
      </c>
      <c r="M103" s="64" t="str">
        <v>表列普通折扣价；PS Plus或有额外折扣</v>
      </c>
    </row>
    <row r="104" ht="44" customHeight="1">
      <c r="A104" s="55" t="n">
        <v>97</v>
      </c>
      <c r="B104" s="28" t="str">
        <v>Bassmaster® Fishing: Deluxe Edition PS4™ and PS5™</v>
      </c>
      <c r="C104" s="57" t="str">
        <v>PS4 / PS5</v>
      </c>
      <c r="D104" s="30" t="n">
        <f>ROUND(E104*$B$4,2)</f>
        <v>33.89</v>
      </c>
      <c r="E104" s="31" t="n">
        <v>39.6</v>
      </c>
      <c r="F104" s="32" t="n">
        <v>0.8</v>
      </c>
      <c r="G104" s="57" t="str">
        <v>简体中文</v>
      </c>
      <c r="H104" s="31" t="n">
        <v>3.51</v>
      </c>
      <c r="I104" s="33" t="n">
        <v>686</v>
      </c>
      <c r="J104" s="34" t="n">
        <v>46288.95763888889</v>
      </c>
      <c r="K104" s="57" t="str">
        <v>未显示收录</v>
      </c>
      <c r="L104" s="59" t="str">
        <v>查看港服</v>
      </c>
      <c r="M104" s="63" t="str"/>
    </row>
    <row r="105" ht="36" customHeight="1">
      <c r="A105" s="56" t="n">
        <v>98</v>
      </c>
      <c r="B105" s="46" t="str">
        <v>Solarpunk</v>
      </c>
      <c r="C105" s="58" t="str">
        <v>PS5</v>
      </c>
      <c r="D105" s="48" t="n">
        <f>ROUND(E105*$B$4,2)</f>
        <v>91.73</v>
      </c>
      <c r="E105" s="49" t="n">
        <v>107.2</v>
      </c>
      <c r="F105" s="50" t="n">
        <v>0.2</v>
      </c>
      <c r="G105" s="58" t="str">
        <v>简繁中文</v>
      </c>
      <c r="H105" s="49" t="n">
        <v>3.99</v>
      </c>
      <c r="I105" s="51" t="n">
        <v>672</v>
      </c>
      <c r="J105" s="52" t="n">
        <v>46288.95763888889</v>
      </c>
      <c r="K105" s="58" t="str">
        <v>未显示收录</v>
      </c>
      <c r="L105" s="60" t="str">
        <v>查看港服</v>
      </c>
      <c r="M105" s="64" t="str"/>
    </row>
    <row r="106" ht="36" customHeight="1">
      <c r="A106" s="55" t="n">
        <v>99</v>
      </c>
      <c r="B106" s="28" t="str">
        <v>A Game About Digging A Hole™</v>
      </c>
      <c r="C106" s="57" t="str">
        <v>PS5</v>
      </c>
      <c r="D106" s="30" t="n">
        <f>ROUND(E106*$B$4,2)</f>
        <v>22.76</v>
      </c>
      <c r="E106" s="31" t="n">
        <v>26.6</v>
      </c>
      <c r="F106" s="32" t="n">
        <v>0.3</v>
      </c>
      <c r="G106" s="57" t="str">
        <v>简体中文</v>
      </c>
      <c r="H106" s="31" t="n">
        <v>3.81</v>
      </c>
      <c r="I106" s="33" t="n">
        <v>665</v>
      </c>
      <c r="J106" s="34" t="n">
        <v>46288.95763888889</v>
      </c>
      <c r="K106" s="57" t="str">
        <v>未显示收录</v>
      </c>
      <c r="L106" s="59" t="str">
        <v>查看港服</v>
      </c>
      <c r="M106" s="63" t="str"/>
    </row>
    <row r="107" ht="36" customHeight="1">
      <c r="A107" s="56" t="n">
        <v>100</v>
      </c>
      <c r="B107" s="46" t="str">
        <v>完蛋！我被美女包圍了！2</v>
      </c>
      <c r="C107" s="58" t="str">
        <v>PS5</v>
      </c>
      <c r="D107" s="48" t="n">
        <f>ROUND(E107*$B$4,2)</f>
        <v>47.23</v>
      </c>
      <c r="E107" s="49" t="n">
        <v>55.2</v>
      </c>
      <c r="F107" s="50" t="n">
        <v>0.2</v>
      </c>
      <c r="G107" s="58" t="str">
        <v>简繁中文</v>
      </c>
      <c r="H107" s="49" t="n">
        <v>4.55</v>
      </c>
      <c r="I107" s="51" t="n">
        <v>644</v>
      </c>
      <c r="J107" s="52" t="n">
        <v>46288.95763888889</v>
      </c>
      <c r="K107" s="58" t="str">
        <v>未显示收录</v>
      </c>
      <c r="L107" s="60" t="str">
        <v>查看港服</v>
      </c>
      <c r="M107" s="64" t="str"/>
    </row>
    <row r="108" ht="36" customHeight="1">
      <c r="A108" s="55" t="n">
        <v>101</v>
      </c>
      <c r="B108" s="28" t="str">
        <v>Fall of Porcupine</v>
      </c>
      <c r="C108" s="57" t="str">
        <v>PS4</v>
      </c>
      <c r="D108" s="30" t="n">
        <f>ROUND(E108*$B$4,2)</f>
        <v>19</v>
      </c>
      <c r="E108" s="31" t="n">
        <v>22.2</v>
      </c>
      <c r="F108" s="32" t="n">
        <v>0.85</v>
      </c>
      <c r="G108" s="57" t="str">
        <v>简繁中文</v>
      </c>
      <c r="H108" s="31" t="n">
        <v>3.95</v>
      </c>
      <c r="I108" s="33" t="n">
        <v>643</v>
      </c>
      <c r="J108" s="34" t="n">
        <v>46288.95763888889</v>
      </c>
      <c r="K108" s="57" t="str">
        <v>未显示收录</v>
      </c>
      <c r="L108" s="59" t="str">
        <v>查看港服</v>
      </c>
      <c r="M108" s="63" t="str"/>
    </row>
    <row r="109" ht="36" customHeight="1">
      <c r="A109" s="56" t="n">
        <v>102</v>
      </c>
      <c r="B109" s="46" t="str">
        <v>Universal Flight Simulator</v>
      </c>
      <c r="C109" s="58" t="str">
        <v>PS4</v>
      </c>
      <c r="D109" s="48" t="n">
        <f>ROUND(E109*$B$4,2)</f>
        <v>46.72</v>
      </c>
      <c r="E109" s="49" t="n">
        <v>54.6</v>
      </c>
      <c r="F109" s="50" t="n">
        <v>0.3</v>
      </c>
      <c r="G109" s="58" t="str">
        <v>未列中文</v>
      </c>
      <c r="H109" s="49" t="n">
        <v>1.34</v>
      </c>
      <c r="I109" s="51" t="n">
        <v>638</v>
      </c>
      <c r="J109" s="52" t="n">
        <v>46288.95763888889</v>
      </c>
      <c r="K109" s="58" t="str">
        <v>未显示收录</v>
      </c>
      <c r="L109" s="60" t="str">
        <v>查看港服</v>
      </c>
      <c r="M109" s="64" t="str">
        <v>表列普通折扣价；PS Plus或有额外折扣</v>
      </c>
    </row>
    <row r="110" ht="36" customHeight="1">
      <c r="A110" s="55" t="n">
        <v>103</v>
      </c>
      <c r="B110" s="28" t="str">
        <v>Autopsy Simulator</v>
      </c>
      <c r="C110" s="57" t="str">
        <v>PS5</v>
      </c>
      <c r="D110" s="30" t="n">
        <f>ROUND(E110*$B$4,2)</f>
        <v>84.71</v>
      </c>
      <c r="E110" s="31" t="n">
        <v>99</v>
      </c>
      <c r="F110" s="32" t="n">
        <v>0.5</v>
      </c>
      <c r="G110" s="57" t="str">
        <v>简繁中文</v>
      </c>
      <c r="H110" s="31" t="n">
        <v>3.91</v>
      </c>
      <c r="I110" s="33" t="n">
        <v>637</v>
      </c>
      <c r="J110" s="34" t="n">
        <v>46288.95763888889</v>
      </c>
      <c r="K110" s="57" t="str">
        <v>未显示收录</v>
      </c>
      <c r="L110" s="59" t="str">
        <v>查看港服</v>
      </c>
      <c r="M110" s="63" t="str"/>
    </row>
    <row r="111" ht="36" customHeight="1">
      <c r="A111" s="56" t="n">
        <v>104</v>
      </c>
      <c r="B111" s="46" t="str">
        <v>名利遊戲</v>
      </c>
      <c r="C111" s="58" t="str">
        <v>PS5</v>
      </c>
      <c r="D111" s="48" t="n">
        <f>ROUND(E111*$B$4,2)</f>
        <v>29.52</v>
      </c>
      <c r="E111" s="49" t="n">
        <v>34.5</v>
      </c>
      <c r="F111" s="50" t="n">
        <v>0.5</v>
      </c>
      <c r="G111" s="58" t="str">
        <v>简繁中文</v>
      </c>
      <c r="H111" s="49" t="n">
        <v>4.01</v>
      </c>
      <c r="I111" s="51" t="n">
        <v>634</v>
      </c>
      <c r="J111" s="52" t="n">
        <v>46288.95763888889</v>
      </c>
      <c r="K111" s="58" t="str">
        <v>未显示收录</v>
      </c>
      <c r="L111" s="60" t="str">
        <v>查看港服</v>
      </c>
      <c r="M111" s="64" t="str"/>
    </row>
    <row r="112" ht="36" customHeight="1">
      <c r="A112" s="55" t="n">
        <v>105</v>
      </c>
      <c r="B112" s="28" t="str">
        <v>福尔摩斯的遗嘱</v>
      </c>
      <c r="C112" s="57" t="str">
        <v>PS4</v>
      </c>
      <c r="D112" s="30" t="n">
        <f>ROUND(E112*$B$4,2)</f>
        <v>25.41</v>
      </c>
      <c r="E112" s="31" t="n">
        <v>29.7</v>
      </c>
      <c r="F112" s="32" t="n">
        <v>0.85</v>
      </c>
      <c r="G112" s="57" t="str">
        <v>简繁中文</v>
      </c>
      <c r="H112" s="31" t="n">
        <v>4.17</v>
      </c>
      <c r="I112" s="33" t="n">
        <v>627</v>
      </c>
      <c r="J112" s="34" t="n">
        <v>46288.95763888889</v>
      </c>
      <c r="K112" s="57" t="str">
        <v>未显示收录</v>
      </c>
      <c r="L112" s="59" t="str">
        <v>查看港服</v>
      </c>
      <c r="M112" s="63" t="str"/>
    </row>
    <row r="113" ht="36" customHeight="1">
      <c r="A113" s="56" t="n">
        <v>106</v>
      </c>
      <c r="B113" s="46" t="str">
        <v>Endzone - A World Apart</v>
      </c>
      <c r="C113" s="58" t="str">
        <v>PS5</v>
      </c>
      <c r="D113" s="48" t="n">
        <f>ROUND(E113*$B$4,2)</f>
        <v>34.06</v>
      </c>
      <c r="E113" s="49" t="n">
        <v>39.8</v>
      </c>
      <c r="F113" s="50" t="n">
        <v>0.9</v>
      </c>
      <c r="G113" s="58" t="str">
        <v>简体中文</v>
      </c>
      <c r="H113" s="49" t="n">
        <v>3.35</v>
      </c>
      <c r="I113" s="51" t="n">
        <v>620</v>
      </c>
      <c r="J113" s="52" t="n">
        <v>46288.95763888889</v>
      </c>
      <c r="K113" s="58" t="str">
        <v>未显示收录</v>
      </c>
      <c r="L113" s="60" t="str">
        <v>查看港服</v>
      </c>
      <c r="M113" s="64" t="str"/>
    </row>
    <row r="114" ht="36" customHeight="1">
      <c r="A114" s="55" t="n">
        <v>107</v>
      </c>
      <c r="B114" s="28" t="str">
        <v>Bendy and the Dark Revival</v>
      </c>
      <c r="C114" s="57" t="str">
        <v>PS5</v>
      </c>
      <c r="D114" s="30" t="n">
        <f>ROUND(E114*$B$4,2)</f>
        <v>37.99</v>
      </c>
      <c r="E114" s="31" t="n">
        <v>44.4</v>
      </c>
      <c r="F114" s="32" t="n">
        <v>0.7</v>
      </c>
      <c r="G114" s="57" t="str">
        <v>简体中文</v>
      </c>
      <c r="H114" s="31" t="n">
        <v>4.6</v>
      </c>
      <c r="I114" s="33" t="n">
        <v>618</v>
      </c>
      <c r="J114" s="34" t="n">
        <v>46288.95763888889</v>
      </c>
      <c r="K114" s="57" t="str">
        <v>未显示收录</v>
      </c>
      <c r="L114" s="59" t="str">
        <v>查看港服</v>
      </c>
      <c r="M114" s="63" t="str"/>
    </row>
    <row r="115" ht="36" customHeight="1">
      <c r="A115" s="56" t="n">
        <v>108</v>
      </c>
      <c r="B115" s="46" t="str">
        <v>Storage Hunter Bid War Simulator</v>
      </c>
      <c r="C115" s="58" t="str">
        <v>PS4</v>
      </c>
      <c r="D115" s="48" t="n">
        <f>ROUND(E115*$B$4,2)</f>
        <v>63.32</v>
      </c>
      <c r="E115" s="49" t="n">
        <v>74</v>
      </c>
      <c r="F115" s="50" t="n">
        <v>0.5</v>
      </c>
      <c r="G115" s="58" t="str">
        <v>未列中文</v>
      </c>
      <c r="H115" s="49" t="n">
        <v>1.24</v>
      </c>
      <c r="I115" s="51" t="n">
        <v>617</v>
      </c>
      <c r="J115" s="52" t="n">
        <v>46288.95763888889</v>
      </c>
      <c r="K115" s="58" t="str">
        <v>未显示收录</v>
      </c>
      <c r="L115" s="60" t="str">
        <v>查看港服</v>
      </c>
      <c r="M115" s="64" t="str">
        <v>表列普通折扣价；PS Plus或有额外折扣</v>
      </c>
    </row>
    <row r="116" ht="36" customHeight="1">
      <c r="A116" s="55" t="n">
        <v>109</v>
      </c>
      <c r="B116" s="28" t="str">
        <v>Truck Simulator Euro Roads 2026</v>
      </c>
      <c r="C116" s="57" t="str">
        <v>PS5</v>
      </c>
      <c r="D116" s="30" t="n">
        <f>ROUND(E116*$B$4,2)</f>
        <v>88.65</v>
      </c>
      <c r="E116" s="31" t="n">
        <v>103.6</v>
      </c>
      <c r="F116" s="32" t="n">
        <v>0.3</v>
      </c>
      <c r="G116" s="57" t="str">
        <v>未列中文</v>
      </c>
      <c r="H116" s="31" t="n">
        <v>1.41</v>
      </c>
      <c r="I116" s="33" t="n">
        <v>614</v>
      </c>
      <c r="J116" s="34" t="n">
        <v>46288.95763888889</v>
      </c>
      <c r="K116" s="57" t="str">
        <v>未显示收录</v>
      </c>
      <c r="L116" s="59" t="str">
        <v>查看港服</v>
      </c>
      <c r="M116" s="63" t="str">
        <v>表列普通折扣价；PS Plus或有额外折扣</v>
      </c>
    </row>
    <row r="117" ht="36" customHeight="1">
      <c r="A117" s="56" t="n">
        <v>110</v>
      </c>
      <c r="B117" s="46" t="str">
        <v>Dolmen</v>
      </c>
      <c r="C117" s="58" t="str">
        <v>PS4 / PS5</v>
      </c>
      <c r="D117" s="48" t="n">
        <f>ROUND(E117*$B$4,2)</f>
        <v>25.33</v>
      </c>
      <c r="E117" s="49" t="n">
        <v>29.6</v>
      </c>
      <c r="F117" s="50" t="n">
        <v>0.8</v>
      </c>
      <c r="G117" s="58" t="str">
        <v>简繁中文</v>
      </c>
      <c r="H117" s="49" t="n">
        <v>3.27</v>
      </c>
      <c r="I117" s="51" t="n">
        <v>586</v>
      </c>
      <c r="J117" s="52" t="n">
        <v>46288.95763888889</v>
      </c>
      <c r="K117" s="58" t="str">
        <v>未显示收录</v>
      </c>
      <c r="L117" s="60" t="str">
        <v>查看港服</v>
      </c>
      <c r="M117" s="64" t="str"/>
    </row>
    <row r="118" ht="36" customHeight="1">
      <c r="A118" s="55" t="n">
        <v>111</v>
      </c>
      <c r="B118" s="28" t="str">
        <v>Bionic Bay: 換影循跡</v>
      </c>
      <c r="C118" s="57" t="str">
        <v>PS5</v>
      </c>
      <c r="D118" s="30" t="n">
        <f>ROUND(E118*$B$4,2)</f>
        <v>31.66</v>
      </c>
      <c r="E118" s="31" t="n">
        <v>37</v>
      </c>
      <c r="F118" s="32" t="n">
        <v>0.75</v>
      </c>
      <c r="G118" s="57" t="str">
        <v>简繁中文</v>
      </c>
      <c r="H118" s="31" t="n">
        <v>4.43</v>
      </c>
      <c r="I118" s="33" t="n">
        <v>566</v>
      </c>
      <c r="J118" s="34" t="n">
        <v>46288.95763888889</v>
      </c>
      <c r="K118" s="57" t="str">
        <v>未显示收录</v>
      </c>
      <c r="L118" s="59" t="str">
        <v>查看港服</v>
      </c>
      <c r="M118" s="63" t="str">
        <v>另有限时试玩</v>
      </c>
    </row>
    <row r="119" ht="36" customHeight="1">
      <c r="A119" s="56" t="n">
        <v>112</v>
      </c>
      <c r="B119" s="46" t="str">
        <v>Bendy: Lone Wolf - PS4 &amp; PS5</v>
      </c>
      <c r="C119" s="58" t="str">
        <v>PS4 / PS5</v>
      </c>
      <c r="D119" s="48" t="n">
        <f>ROUND(E119*$B$4,2)</f>
        <v>82.32</v>
      </c>
      <c r="E119" s="49" t="n">
        <v>96.2</v>
      </c>
      <c r="F119" s="50" t="n">
        <v>0.35</v>
      </c>
      <c r="G119" s="58" t="str">
        <v>简体中文</v>
      </c>
      <c r="H119" s="49" t="n">
        <v>4.4</v>
      </c>
      <c r="I119" s="51" t="n">
        <v>552</v>
      </c>
      <c r="J119" s="52" t="n">
        <v>46288.95763888889</v>
      </c>
      <c r="K119" s="58" t="str">
        <v>未显示收录</v>
      </c>
      <c r="L119" s="60" t="str">
        <v>查看港服</v>
      </c>
      <c r="M119" s="64" t="str"/>
    </row>
    <row r="120" ht="36" customHeight="1">
      <c r="A120" s="55" t="n">
        <v>113</v>
      </c>
      <c r="B120" s="28" t="str">
        <v>Easy Flight Simulator</v>
      </c>
      <c r="C120" s="57" t="str">
        <v>PS4</v>
      </c>
      <c r="D120" s="30" t="n">
        <f>ROUND(E120*$B$4,2)</f>
        <v>22.76</v>
      </c>
      <c r="E120" s="31" t="n">
        <v>26.6</v>
      </c>
      <c r="F120" s="32" t="n">
        <v>0.3</v>
      </c>
      <c r="G120" s="57" t="str">
        <v>未列中文</v>
      </c>
      <c r="H120" s="31" t="n">
        <v>1.76</v>
      </c>
      <c r="I120" s="33" t="n">
        <v>549</v>
      </c>
      <c r="J120" s="34" t="n">
        <v>46288.95763888889</v>
      </c>
      <c r="K120" s="57" t="str">
        <v>未显示收录</v>
      </c>
      <c r="L120" s="59" t="str">
        <v>查看港服</v>
      </c>
      <c r="M120" s="63" t="str">
        <v>表列普通折扣价；PS Plus或有额外折扣</v>
      </c>
    </row>
    <row r="121" ht="36" customHeight="1">
      <c r="A121" s="56" t="n">
        <v>114</v>
      </c>
      <c r="B121" s="46" t="str">
        <v>Knightica</v>
      </c>
      <c r="C121" s="58" t="str">
        <v>PS5</v>
      </c>
      <c r="D121" s="48" t="n">
        <f>ROUND(E121*$B$4,2)</f>
        <v>60.07</v>
      </c>
      <c r="E121" s="49" t="n">
        <v>70.2</v>
      </c>
      <c r="F121" s="50" t="n">
        <v>0.35</v>
      </c>
      <c r="G121" s="58" t="str">
        <v>简繁中文</v>
      </c>
      <c r="H121" s="49" t="n">
        <v>3.96</v>
      </c>
      <c r="I121" s="51" t="n">
        <v>531</v>
      </c>
      <c r="J121" s="52" t="n">
        <v>46288.95763888889</v>
      </c>
      <c r="K121" s="58" t="str">
        <v>未显示收录</v>
      </c>
      <c r="L121" s="60" t="str">
        <v>查看港服</v>
      </c>
      <c r="M121" s="64" t="str"/>
    </row>
    <row r="122" ht="36" customHeight="1">
      <c r="A122" s="55" t="n">
        <v>115</v>
      </c>
      <c r="B122" s="28" t="str">
        <v>MX Dirt Bike: Unlimited Bike Experience</v>
      </c>
      <c r="C122" s="57" t="str">
        <v>PS4</v>
      </c>
      <c r="D122" s="30" t="n">
        <f>ROUND(E122*$B$4,2)</f>
        <v>60.07</v>
      </c>
      <c r="E122" s="31" t="n">
        <v>70.2</v>
      </c>
      <c r="F122" s="32" t="n">
        <v>0.35</v>
      </c>
      <c r="G122" s="57" t="str">
        <v>未列中文</v>
      </c>
      <c r="H122" s="31" t="n">
        <v>1.38</v>
      </c>
      <c r="I122" s="33" t="n">
        <v>522</v>
      </c>
      <c r="J122" s="34" t="n">
        <v>46288.95763888889</v>
      </c>
      <c r="K122" s="57" t="str">
        <v>未显示收录</v>
      </c>
      <c r="L122" s="59" t="str">
        <v>查看港服</v>
      </c>
      <c r="M122" s="63" t="str">
        <v>表列普通折扣价；PS Plus或有额外折扣</v>
      </c>
    </row>
    <row r="123" ht="36" customHeight="1">
      <c r="A123" s="56" t="n">
        <v>116</v>
      </c>
      <c r="B123" s="46" t="str">
        <v>冤罪执行游戏 Yurukill</v>
      </c>
      <c r="C123" s="58" t="str">
        <v>PS4 / PS5</v>
      </c>
      <c r="D123" s="48" t="n">
        <f>ROUND(E123*$B$4,2)</f>
        <v>73.42</v>
      </c>
      <c r="E123" s="49" t="n">
        <v>85.8</v>
      </c>
      <c r="F123" s="50" t="n">
        <v>0.8</v>
      </c>
      <c r="G123" s="58" t="str">
        <v>简繁中文</v>
      </c>
      <c r="H123" s="49" t="n">
        <v>4.09</v>
      </c>
      <c r="I123" s="51" t="n">
        <v>511</v>
      </c>
      <c r="J123" s="52" t="n">
        <v>46288.95763888889</v>
      </c>
      <c r="K123" s="58" t="str">
        <v>未显示收录</v>
      </c>
      <c r="L123" s="60" t="str">
        <v>查看港服</v>
      </c>
      <c r="M123" s="64" t="str"/>
    </row>
    <row r="124" ht="36" customHeight="1">
      <c r="A124" s="55" t="n">
        <v>117</v>
      </c>
      <c r="B124" s="28" t="str">
        <v>Kona II: Brume</v>
      </c>
      <c r="C124" s="57" t="str">
        <v>PS4 / PS5</v>
      </c>
      <c r="D124" s="30" t="n">
        <f>ROUND(E124*$B$4,2)</f>
        <v>40.73</v>
      </c>
      <c r="E124" s="31" t="n">
        <v>47.6</v>
      </c>
      <c r="F124" s="32" t="n">
        <v>0.8</v>
      </c>
      <c r="G124" s="57" t="str">
        <v>简繁中文</v>
      </c>
      <c r="H124" s="31" t="n">
        <v>4.27</v>
      </c>
      <c r="I124" s="33" t="n">
        <v>500</v>
      </c>
      <c r="J124" s="34" t="n">
        <v>46288.95763888889</v>
      </c>
      <c r="K124" s="57" t="str">
        <v>未显示收录</v>
      </c>
      <c r="L124" s="59" t="str">
        <v>查看港服</v>
      </c>
      <c r="M124" s="63" t="str"/>
    </row>
    <row r="125" ht="36" customHeight="1">
      <c r="A125" s="56" t="n">
        <v>118</v>
      </c>
      <c r="B125" s="46" t="str">
        <v>Top Gun Air Combat PS4 &amp; PS5</v>
      </c>
      <c r="C125" s="58" t="str">
        <v>PS4</v>
      </c>
      <c r="D125" s="48" t="n">
        <f>ROUND(E125*$B$4,2)</f>
        <v>46.72</v>
      </c>
      <c r="E125" s="49" t="n">
        <v>54.6</v>
      </c>
      <c r="F125" s="50" t="n">
        <v>0.3</v>
      </c>
      <c r="G125" s="58" t="str">
        <v>未列中文</v>
      </c>
      <c r="H125" s="49" t="n">
        <v>2.07</v>
      </c>
      <c r="I125" s="51" t="n">
        <v>490</v>
      </c>
      <c r="J125" s="52" t="n">
        <v>46288.95763888889</v>
      </c>
      <c r="K125" s="58" t="str">
        <v>未显示收录</v>
      </c>
      <c r="L125" s="60" t="str">
        <v>查看港服</v>
      </c>
      <c r="M125" s="64" t="str">
        <v>表列普通折扣价；PS Plus或有额外折扣</v>
      </c>
    </row>
    <row r="126" ht="36" customHeight="1">
      <c r="A126" s="55" t="n">
        <v>119</v>
      </c>
      <c r="B126" s="28" t="str">
        <v>The Last Oricru - Final Cut</v>
      </c>
      <c r="C126" s="57" t="str">
        <v>PS5</v>
      </c>
      <c r="D126" s="30" t="n">
        <f>ROUND(E126*$B$4,2)</f>
        <v>25.33</v>
      </c>
      <c r="E126" s="31" t="n">
        <v>29.6</v>
      </c>
      <c r="F126" s="32" t="n">
        <v>0.8</v>
      </c>
      <c r="G126" s="57" t="str">
        <v>简繁中文</v>
      </c>
      <c r="H126" s="31" t="n">
        <v>3.19</v>
      </c>
      <c r="I126" s="33" t="n">
        <v>483</v>
      </c>
      <c r="J126" s="34" t="n">
        <v>46288.95763888889</v>
      </c>
      <c r="K126" s="57" t="str">
        <v>未显示收录</v>
      </c>
      <c r="L126" s="59" t="str">
        <v>查看港服</v>
      </c>
      <c r="M126" s="63" t="str"/>
    </row>
    <row r="127" ht="36" customHeight="1">
      <c r="A127" s="56" t="n">
        <v>120</v>
      </c>
      <c r="B127" s="46" t="str">
        <v>Unplugged - Air Guitar</v>
      </c>
      <c r="C127" s="58" t="str">
        <v>PS5</v>
      </c>
      <c r="D127" s="48" t="n">
        <f>ROUND(E127*$B$4,2)</f>
        <v>31.66</v>
      </c>
      <c r="E127" s="49" t="n">
        <v>37</v>
      </c>
      <c r="F127" s="50" t="n">
        <v>0.75</v>
      </c>
      <c r="G127" s="58" t="str">
        <v>简体中文</v>
      </c>
      <c r="H127" s="49" t="n">
        <v>3.4</v>
      </c>
      <c r="I127" s="51" t="n">
        <v>462</v>
      </c>
      <c r="J127" s="52" t="n">
        <v>46288.95763888889</v>
      </c>
      <c r="K127" s="58" t="str">
        <v>未显示收录</v>
      </c>
      <c r="L127" s="60" t="str">
        <v>查看港服</v>
      </c>
      <c r="M127" s="64" t="str">
        <v>含VR相关要求，购买前查看商品页</v>
      </c>
    </row>
    <row r="128" ht="36" customHeight="1">
      <c r="A128" s="55" t="n">
        <v>121</v>
      </c>
      <c r="B128" s="28" t="str">
        <v>FMV Murder Mystery Bundle</v>
      </c>
      <c r="C128" s="57" t="str">
        <v>PS4</v>
      </c>
      <c r="D128" s="30" t="n">
        <f>ROUND(E128*$B$4,2)</f>
        <v>84.71</v>
      </c>
      <c r="E128" s="31" t="n">
        <v>99</v>
      </c>
      <c r="F128" s="32" t="n">
        <v>0.5</v>
      </c>
      <c r="G128" s="57" t="str">
        <v>简体中文</v>
      </c>
      <c r="H128" s="31" t="n">
        <v>4.14</v>
      </c>
      <c r="I128" s="33" t="n">
        <v>457</v>
      </c>
      <c r="J128" s="34" t="n">
        <v>46288.95763888889</v>
      </c>
      <c r="K128" s="57" t="str">
        <v>未显示收录</v>
      </c>
      <c r="L128" s="59" t="str">
        <v>查看港服</v>
      </c>
      <c r="M128" s="63" t="str"/>
    </row>
    <row r="129" ht="36" customHeight="1">
      <c r="A129" s="56" t="n">
        <v>122</v>
      </c>
      <c r="B129" s="46" t="str">
        <v>LISA：最终版</v>
      </c>
      <c r="C129" s="58" t="str">
        <v>PS4 / PS5</v>
      </c>
      <c r="D129" s="48" t="n">
        <f>ROUND(E129*$B$4,2)</f>
        <v>67.77</v>
      </c>
      <c r="E129" s="49" t="n">
        <v>79.2</v>
      </c>
      <c r="F129" s="50" t="n">
        <v>0.6</v>
      </c>
      <c r="G129" s="58" t="str">
        <v>简繁中文</v>
      </c>
      <c r="H129" s="49" t="n">
        <v>4.78</v>
      </c>
      <c r="I129" s="51" t="n">
        <v>452</v>
      </c>
      <c r="J129" s="52" t="n">
        <v>46288.95763888889</v>
      </c>
      <c r="K129" s="58" t="str">
        <v>未显示收录</v>
      </c>
      <c r="L129" s="60" t="str">
        <v>查看港服</v>
      </c>
      <c r="M129" s="64" t="str"/>
    </row>
    <row r="130" ht="36" customHeight="1">
      <c r="A130" s="55" t="n">
        <v>123</v>
      </c>
      <c r="B130" s="28" t="str">
        <v>We Were Here Too</v>
      </c>
      <c r="C130" s="57" t="str">
        <v>PS4 / PS5</v>
      </c>
      <c r="D130" s="30" t="n">
        <f>ROUND(E130*$B$4,2)</f>
        <v>20.02</v>
      </c>
      <c r="E130" s="31" t="n">
        <v>23.4</v>
      </c>
      <c r="F130" s="32" t="n">
        <v>0.7</v>
      </c>
      <c r="G130" s="57" t="str">
        <v>简繁中文</v>
      </c>
      <c r="H130" s="31" t="n">
        <v>3.97</v>
      </c>
      <c r="I130" s="33" t="n">
        <v>438</v>
      </c>
      <c r="J130" s="34" t="n">
        <v>46288.95763888889</v>
      </c>
      <c r="K130" s="57" t="str">
        <v>未显示收录</v>
      </c>
      <c r="L130" s="59" t="str">
        <v>查看港服</v>
      </c>
      <c r="M130" s="63" t="str"/>
    </row>
    <row r="131" ht="36" customHeight="1">
      <c r="A131" s="56" t="n">
        <v>124</v>
      </c>
      <c r="B131" s="46" t="str">
        <v>五个约会 (Five Dates)</v>
      </c>
      <c r="C131" s="58" t="str">
        <v>PS4 / PS5</v>
      </c>
      <c r="D131" s="48" t="n">
        <f>ROUND(E131*$B$4,2)</f>
        <v>36.97</v>
      </c>
      <c r="E131" s="49" t="n">
        <v>43.2</v>
      </c>
      <c r="F131" s="50" t="n">
        <v>0.6</v>
      </c>
      <c r="G131" s="58" t="str">
        <v>简体中文</v>
      </c>
      <c r="H131" s="49" t="n">
        <v>4.3</v>
      </c>
      <c r="I131" s="51" t="n">
        <v>432</v>
      </c>
      <c r="J131" s="52" t="n">
        <v>46288.95763888889</v>
      </c>
      <c r="K131" s="58" t="str">
        <v>未显示收录</v>
      </c>
      <c r="L131" s="60" t="str">
        <v>查看港服</v>
      </c>
      <c r="M131" s="64" t="str"/>
    </row>
    <row r="132" ht="36" customHeight="1">
      <c r="A132" s="55" t="n">
        <v>125</v>
      </c>
      <c r="B132" s="28" t="str">
        <v>爆钻小英雄：钻头乐园</v>
      </c>
      <c r="C132" s="57" t="str">
        <v>PS4 / PS5</v>
      </c>
      <c r="D132" s="30" t="n">
        <f>ROUND(E132*$B$4,2)</f>
        <v>16.87</v>
      </c>
      <c r="E132" s="31" t="n">
        <v>19.71</v>
      </c>
      <c r="F132" s="32" t="n">
        <v>0.91</v>
      </c>
      <c r="G132" s="57" t="str">
        <v>简繁中文</v>
      </c>
      <c r="H132" s="31" t="n">
        <v>4.19</v>
      </c>
      <c r="I132" s="33" t="n">
        <v>414</v>
      </c>
      <c r="J132" s="34" t="n">
        <v>46288.95763888889</v>
      </c>
      <c r="K132" s="57" t="str">
        <v>未显示收录</v>
      </c>
      <c r="L132" s="59" t="str">
        <v>查看港服</v>
      </c>
      <c r="M132" s="63" t="str"/>
    </row>
    <row r="133" ht="36" customHeight="1">
      <c r="A133" s="56" t="n">
        <v>126</v>
      </c>
      <c r="B133" s="46" t="str">
        <v>風暴之城 Against the Storm</v>
      </c>
      <c r="C133" s="58" t="str">
        <v>PS5</v>
      </c>
      <c r="D133" s="48" t="n">
        <f>ROUND(E133*$B$4,2)</f>
        <v>63.32</v>
      </c>
      <c r="E133" s="49" t="n">
        <v>74</v>
      </c>
      <c r="F133" s="50" t="n">
        <v>0.5</v>
      </c>
      <c r="G133" s="58" t="str">
        <v>简繁中文</v>
      </c>
      <c r="H133" s="49" t="n">
        <v>4.64</v>
      </c>
      <c r="I133" s="51" t="n">
        <v>410</v>
      </c>
      <c r="J133" s="52" t="n">
        <v>46288.95763888889</v>
      </c>
      <c r="K133" s="58" t="str">
        <v>未显示收录</v>
      </c>
      <c r="L133" s="60" t="str">
        <v>查看港服</v>
      </c>
      <c r="M133" s="64" t="str"/>
    </row>
    <row r="134" ht="36" customHeight="1">
      <c r="A134" s="55" t="n">
        <v>127</v>
      </c>
      <c r="B134" s="28" t="str">
        <v>SUPER BOMBERMAN COLLECTION</v>
      </c>
      <c r="C134" s="57" t="str">
        <v>PS5</v>
      </c>
      <c r="D134" s="30" t="n">
        <f>ROUND(E134*$B$4,2)</f>
        <v>93.78</v>
      </c>
      <c r="E134" s="31" t="n">
        <v>109.6</v>
      </c>
      <c r="F134" s="32" t="n">
        <v>0.2</v>
      </c>
      <c r="G134" s="57" t="str">
        <v>简繁中文</v>
      </c>
      <c r="H134" s="31" t="n">
        <v>4.83</v>
      </c>
      <c r="I134" s="33" t="n">
        <v>408</v>
      </c>
      <c r="J134" s="34" t="n">
        <v>46288.95763888889</v>
      </c>
      <c r="K134" s="57" t="str">
        <v>未显示收录</v>
      </c>
      <c r="L134" s="59" t="str">
        <v>查看港服</v>
      </c>
      <c r="M134" s="63" t="str"/>
    </row>
    <row r="135" ht="36" customHeight="1">
      <c r="A135" s="56" t="n">
        <v>128</v>
      </c>
      <c r="B135" s="46" t="str">
        <v>Classified: France '44 - Deluxe Edition</v>
      </c>
      <c r="C135" s="58" t="str">
        <v>PS5</v>
      </c>
      <c r="D135" s="48" t="n">
        <f>ROUND(E135*$B$4,2)</f>
        <v>52.71</v>
      </c>
      <c r="E135" s="49" t="n">
        <v>61.6</v>
      </c>
      <c r="F135" s="50" t="n">
        <v>0.8</v>
      </c>
      <c r="G135" s="58" t="str">
        <v>简繁中文</v>
      </c>
      <c r="H135" s="49" t="n">
        <v>3.94</v>
      </c>
      <c r="I135" s="51" t="n">
        <v>401</v>
      </c>
      <c r="J135" s="52" t="n">
        <v>46288.95763888889</v>
      </c>
      <c r="K135" s="58" t="str">
        <v>未显示收录</v>
      </c>
      <c r="L135" s="60" t="str">
        <v>查看港服</v>
      </c>
      <c r="M135" s="64" t="str"/>
    </row>
    <row r="136" ht="36" customHeight="1">
      <c r="A136" s="55" t="n">
        <v>129</v>
      </c>
      <c r="B136" s="28" t="str">
        <v>The Infectious Madness of Doctor Dekker</v>
      </c>
      <c r="C136" s="57" t="str">
        <v>PS4</v>
      </c>
      <c r="D136" s="30" t="n">
        <f>ROUND(E136*$B$4,2)</f>
        <v>27.72</v>
      </c>
      <c r="E136" s="31" t="n">
        <v>32.4</v>
      </c>
      <c r="F136" s="32" t="n">
        <v>0.7</v>
      </c>
      <c r="G136" s="57" t="str">
        <v>未列中文</v>
      </c>
      <c r="H136" s="31" t="n">
        <v>4.03</v>
      </c>
      <c r="I136" s="33" t="n">
        <v>396</v>
      </c>
      <c r="J136" s="34" t="n">
        <v>46288.95763888889</v>
      </c>
      <c r="K136" s="57" t="str">
        <v>未显示收录</v>
      </c>
      <c r="L136" s="59" t="str">
        <v>查看港服</v>
      </c>
      <c r="M136" s="63" t="str"/>
    </row>
    <row r="137" ht="36" customHeight="1">
      <c r="A137" s="56" t="n">
        <v>130</v>
      </c>
      <c r="B137" s="46" t="str">
        <v>Gods Will Fall</v>
      </c>
      <c r="C137" s="58" t="str">
        <v>PS4</v>
      </c>
      <c r="D137" s="48" t="n">
        <f>ROUND(E137*$B$4,2)</f>
        <v>13.86</v>
      </c>
      <c r="E137" s="49" t="n">
        <v>16.2</v>
      </c>
      <c r="F137" s="50" t="n">
        <v>0.85</v>
      </c>
      <c r="G137" s="58" t="str">
        <v>简繁中文</v>
      </c>
      <c r="H137" s="49" t="n">
        <v>3.61</v>
      </c>
      <c r="I137" s="51" t="n">
        <v>386</v>
      </c>
      <c r="J137" s="52" t="n">
        <v>46288.95763888889</v>
      </c>
      <c r="K137" s="58" t="str">
        <v>未显示收录</v>
      </c>
      <c r="L137" s="60" t="str">
        <v>查看港服</v>
      </c>
      <c r="M137" s="64" t="str"/>
    </row>
    <row r="138" ht="36" customHeight="1">
      <c r="A138" s="55" t="n">
        <v>131</v>
      </c>
      <c r="B138" s="28" t="str">
        <v>Clid The Snail</v>
      </c>
      <c r="C138" s="57" t="str">
        <v>PS4</v>
      </c>
      <c r="D138" s="30" t="n">
        <f>ROUND(E138*$B$4,2)</f>
        <v>12.66</v>
      </c>
      <c r="E138" s="31" t="n">
        <v>14.8</v>
      </c>
      <c r="F138" s="32" t="n">
        <v>0.9</v>
      </c>
      <c r="G138" s="57" t="str">
        <v>简繁中文</v>
      </c>
      <c r="H138" s="31" t="n">
        <v>3.62</v>
      </c>
      <c r="I138" s="33" t="n">
        <v>385</v>
      </c>
      <c r="J138" s="34" t="n">
        <v>46288.95763888889</v>
      </c>
      <c r="K138" s="57" t="str">
        <v>未显示收录</v>
      </c>
      <c r="L138" s="59" t="str">
        <v>查看港服</v>
      </c>
      <c r="M138" s="63" t="str"/>
    </row>
    <row r="139" ht="36" customHeight="1">
      <c r="A139" s="56" t="n">
        <v>132</v>
      </c>
      <c r="B139" s="46" t="str">
        <v>WHAT THE GOLF?</v>
      </c>
      <c r="C139" s="58" t="str">
        <v>PS4 / PS5</v>
      </c>
      <c r="D139" s="48" t="n">
        <f>ROUND(E139*$B$4,2)</f>
        <v>63.32</v>
      </c>
      <c r="E139" s="49" t="n">
        <v>74</v>
      </c>
      <c r="F139" s="50" t="n">
        <v>0.5</v>
      </c>
      <c r="G139" s="58" t="str">
        <v>简繁中文</v>
      </c>
      <c r="H139" s="49" t="n">
        <v>4.54</v>
      </c>
      <c r="I139" s="51" t="n">
        <v>384</v>
      </c>
      <c r="J139" s="52" t="n">
        <v>46288.95763888889</v>
      </c>
      <c r="K139" s="58" t="str">
        <v>未显示收录</v>
      </c>
      <c r="L139" s="60" t="str">
        <v>查看港服</v>
      </c>
      <c r="M139" s="64" t="str"/>
    </row>
    <row r="140" ht="44" customHeight="1">
      <c r="A140" s="55" t="n">
        <v>133</v>
      </c>
      <c r="B140" s="28" t="str">
        <v>ABYSS SEEKERーーWhat Do You See Deep in The Abyss</v>
      </c>
      <c r="C140" s="57" t="str">
        <v>PS4</v>
      </c>
      <c r="D140" s="30" t="n">
        <f>ROUND(E140*$B$4,2)</f>
        <v>10.01</v>
      </c>
      <c r="E140" s="31" t="n">
        <v>11.7</v>
      </c>
      <c r="F140" s="32" t="n">
        <v>0.35</v>
      </c>
      <c r="G140" s="57" t="str">
        <v>简体中文</v>
      </c>
      <c r="H140" s="31" t="n">
        <v>3.95</v>
      </c>
      <c r="I140" s="33" t="n">
        <v>374</v>
      </c>
      <c r="J140" s="34" t="n">
        <v>46288.95763888889</v>
      </c>
      <c r="K140" s="57" t="str">
        <v>未显示收录</v>
      </c>
      <c r="L140" s="59" t="str">
        <v>查看港服</v>
      </c>
      <c r="M140" s="63" t="str"/>
    </row>
    <row r="141" ht="36" customHeight="1">
      <c r="A141" s="56" t="n">
        <v>134</v>
      </c>
      <c r="B141" s="46" t="str">
        <v>Death Howl</v>
      </c>
      <c r="C141" s="58" t="str">
        <v>PS5</v>
      </c>
      <c r="D141" s="48" t="n">
        <f>ROUND(E141*$B$4,2)</f>
        <v>88.65</v>
      </c>
      <c r="E141" s="49" t="n">
        <v>103.6</v>
      </c>
      <c r="F141" s="50" t="n">
        <v>0.3</v>
      </c>
      <c r="G141" s="58" t="str">
        <v>简体中文</v>
      </c>
      <c r="H141" s="49" t="n">
        <v>4.59</v>
      </c>
      <c r="I141" s="51" t="n">
        <v>374</v>
      </c>
      <c r="J141" s="52" t="n">
        <v>46288.95763888889</v>
      </c>
      <c r="K141" s="58" t="str">
        <v>未显示收录</v>
      </c>
      <c r="L141" s="60" t="str">
        <v>查看港服</v>
      </c>
      <c r="M141" s="64" t="str"/>
    </row>
    <row r="142" ht="36" customHeight="1">
      <c r="A142" s="55" t="n">
        <v>135</v>
      </c>
      <c r="B142" s="28" t="str">
        <v>Hidden Cats in Berlin</v>
      </c>
      <c r="C142" s="57" t="str">
        <v>PS4</v>
      </c>
      <c r="D142" s="30" t="n">
        <f>ROUND(E142*$B$4,2)</f>
        <v>13.01</v>
      </c>
      <c r="E142" s="31" t="n">
        <v>15.2</v>
      </c>
      <c r="F142" s="32" t="n">
        <v>0.6</v>
      </c>
      <c r="G142" s="57" t="str">
        <v>未列中文</v>
      </c>
      <c r="H142" s="31" t="n">
        <v>4.85</v>
      </c>
      <c r="I142" s="33" t="n">
        <v>373</v>
      </c>
      <c r="J142" s="34" t="n">
        <v>46288.95763888889</v>
      </c>
      <c r="K142" s="57" t="str">
        <v>未显示收录</v>
      </c>
      <c r="L142" s="59" t="str">
        <v>查看港服</v>
      </c>
      <c r="M142" s="63" t="str">
        <v>表列普通折扣价；PS Plus或有额外折扣</v>
      </c>
    </row>
    <row r="143" ht="36" customHeight="1">
      <c r="A143" s="56" t="n">
        <v>136</v>
      </c>
      <c r="B143" s="46" t="str">
        <v>Day of the Shell</v>
      </c>
      <c r="C143" s="58" t="str">
        <v>PS4 / PS5</v>
      </c>
      <c r="D143" s="48" t="n">
        <f>ROUND(E143*$B$4,2)</f>
        <v>49.8</v>
      </c>
      <c r="E143" s="49" t="n">
        <v>58.2</v>
      </c>
      <c r="F143" s="50" t="n">
        <v>0.4</v>
      </c>
      <c r="G143" s="58" t="str">
        <v>简繁中文</v>
      </c>
      <c r="H143" s="49" t="n">
        <v>3.68</v>
      </c>
      <c r="I143" s="51" t="n">
        <v>359</v>
      </c>
      <c r="J143" s="52" t="n">
        <v>46288.95763888889</v>
      </c>
      <c r="K143" s="58" t="str">
        <v>未显示收录</v>
      </c>
      <c r="L143" s="60" t="str">
        <v>查看港服</v>
      </c>
      <c r="M143" s="64" t="str"/>
    </row>
    <row r="144" ht="36" customHeight="1">
      <c r="A144" s="55" t="n">
        <v>137</v>
      </c>
      <c r="B144" s="28" t="str">
        <v>Natsuki Chronicles</v>
      </c>
      <c r="C144" s="57" t="str">
        <v>PS4</v>
      </c>
      <c r="D144" s="30" t="n">
        <f>ROUND(E144*$B$4,2)</f>
        <v>19</v>
      </c>
      <c r="E144" s="31" t="n">
        <v>22.2</v>
      </c>
      <c r="F144" s="32" t="n">
        <v>0.85</v>
      </c>
      <c r="G144" s="57" t="str">
        <v>未列中文</v>
      </c>
      <c r="H144" s="31" t="n">
        <v>4.67</v>
      </c>
      <c r="I144" s="33" t="n">
        <v>359</v>
      </c>
      <c r="J144" s="34" t="n">
        <v>46288.95763888889</v>
      </c>
      <c r="K144" s="57" t="str">
        <v>未显示收录</v>
      </c>
      <c r="L144" s="59" t="str">
        <v>查看港服</v>
      </c>
      <c r="M144" s="63" t="str"/>
    </row>
    <row r="145" ht="36" customHeight="1">
      <c r="A145" s="56" t="n">
        <v>138</v>
      </c>
      <c r="B145" s="46" t="str">
        <v>The Seventia Collection</v>
      </c>
      <c r="C145" s="58" t="str">
        <v>PS4</v>
      </c>
      <c r="D145" s="48" t="n">
        <f>ROUND(E145*$B$4,2)</f>
        <v>34.4</v>
      </c>
      <c r="E145" s="49" t="n">
        <v>40.2</v>
      </c>
      <c r="F145" s="50" t="n">
        <v>0.85</v>
      </c>
      <c r="G145" s="58" t="str">
        <v>未列中文</v>
      </c>
      <c r="H145" s="49" t="n">
        <v>4.67</v>
      </c>
      <c r="I145" s="51" t="n">
        <v>359</v>
      </c>
      <c r="J145" s="52" t="n">
        <v>46288.95763888889</v>
      </c>
      <c r="K145" s="58" t="str">
        <v>未显示收录</v>
      </c>
      <c r="L145" s="60" t="str">
        <v>查看港服</v>
      </c>
      <c r="M145" s="64" t="str"/>
    </row>
    <row r="146" ht="36" customHeight="1">
      <c r="A146" s="55" t="n">
        <v>139</v>
      </c>
      <c r="B146" s="28" t="str">
        <v>Labyrinthine - Console Edition</v>
      </c>
      <c r="C146" s="57" t="str">
        <v>PS5</v>
      </c>
      <c r="D146" s="30" t="n">
        <f>ROUND(E146*$B$4,2)</f>
        <v>73.93</v>
      </c>
      <c r="E146" s="31" t="n">
        <v>86.4</v>
      </c>
      <c r="F146" s="32" t="n">
        <v>0.2</v>
      </c>
      <c r="G146" s="57" t="str">
        <v>简体中文</v>
      </c>
      <c r="H146" s="31" t="n">
        <v>4.07</v>
      </c>
      <c r="I146" s="33" t="n">
        <v>349</v>
      </c>
      <c r="J146" s="34" t="n">
        <v>46288.95763888889</v>
      </c>
      <c r="K146" s="57" t="str">
        <v>未显示收录</v>
      </c>
      <c r="L146" s="59" t="str">
        <v>查看港服</v>
      </c>
      <c r="M146" s="63" t="str">
        <v>表列普通折扣价；PS Plus或有额外折扣</v>
      </c>
    </row>
    <row r="147" ht="36" customHeight="1">
      <c r="A147" s="56" t="n">
        <v>140</v>
      </c>
      <c r="B147" s="46" t="str">
        <v>KILL IT WITH FIRE! 2</v>
      </c>
      <c r="C147" s="58" t="str">
        <v>PS5</v>
      </c>
      <c r="D147" s="48" t="n">
        <f>ROUND(E147*$B$4,2)</f>
        <v>46.21</v>
      </c>
      <c r="E147" s="49" t="n">
        <v>54</v>
      </c>
      <c r="F147" s="50" t="n">
        <v>0.5</v>
      </c>
      <c r="G147" s="58" t="str">
        <v>简体中文</v>
      </c>
      <c r="H147" s="49" t="n">
        <v>4.22</v>
      </c>
      <c r="I147" s="51" t="n">
        <v>341</v>
      </c>
      <c r="J147" s="52" t="n">
        <v>46288.95763888889</v>
      </c>
      <c r="K147" s="58" t="str">
        <v>未显示收录</v>
      </c>
      <c r="L147" s="60" t="str">
        <v>查看港服</v>
      </c>
      <c r="M147" s="64" t="str">
        <v>另有限时试玩</v>
      </c>
    </row>
    <row r="148" ht="36" customHeight="1">
      <c r="A148" s="55" t="n">
        <v>141</v>
      </c>
      <c r="B148" s="28" t="str">
        <v>Beyond Galaxyland (PS4 &amp; PS5)</v>
      </c>
      <c r="C148" s="57" t="str">
        <v>PS4 / PS5</v>
      </c>
      <c r="D148" s="30" t="n">
        <f>ROUND(E148*$B$4,2)</f>
        <v>30.5</v>
      </c>
      <c r="E148" s="31" t="n">
        <v>35.64</v>
      </c>
      <c r="F148" s="32" t="n">
        <v>0.67</v>
      </c>
      <c r="G148" s="57" t="str">
        <v>简繁中文</v>
      </c>
      <c r="H148" s="31" t="n">
        <v>4.66</v>
      </c>
      <c r="I148" s="33" t="n">
        <v>337</v>
      </c>
      <c r="J148" s="34" t="n">
        <v>46288.95763888889</v>
      </c>
      <c r="K148" s="57" t="str">
        <v>未显示收录</v>
      </c>
      <c r="L148" s="59" t="str">
        <v>查看港服</v>
      </c>
      <c r="M148" s="63" t="str"/>
    </row>
    <row r="149" ht="36" customHeight="1">
      <c r="A149" s="56" t="n">
        <v>142</v>
      </c>
      <c r="B149" s="46" t="str">
        <v>Rookie Boxing</v>
      </c>
      <c r="C149" s="58" t="str">
        <v>PS5</v>
      </c>
      <c r="D149" s="48" t="n">
        <f>ROUND(E149*$B$4,2)</f>
        <v>46.72</v>
      </c>
      <c r="E149" s="49" t="n">
        <v>54.6</v>
      </c>
      <c r="F149" s="50" t="n">
        <v>0.3</v>
      </c>
      <c r="G149" s="58" t="str">
        <v>未列中文</v>
      </c>
      <c r="H149" s="49" t="n">
        <v>1.29</v>
      </c>
      <c r="I149" s="51" t="n">
        <v>327</v>
      </c>
      <c r="J149" s="52" t="n">
        <v>46288.95763888889</v>
      </c>
      <c r="K149" s="58" t="str">
        <v>未显示收录</v>
      </c>
      <c r="L149" s="60" t="str">
        <v>查看港服</v>
      </c>
      <c r="M149" s="64" t="str">
        <v>表列普通折扣价；PS Plus或有额外折扣</v>
      </c>
    </row>
    <row r="150" ht="36" customHeight="1">
      <c r="A150" s="55" t="n">
        <v>143</v>
      </c>
      <c r="B150" s="28" t="str">
        <v>Let Them Come</v>
      </c>
      <c r="C150" s="57" t="str">
        <v>PS4</v>
      </c>
      <c r="D150" s="30" t="n">
        <f>ROUND(E150*$B$4,2)</f>
        <v>8.13</v>
      </c>
      <c r="E150" s="31" t="n">
        <v>9.5</v>
      </c>
      <c r="F150" s="32" t="n">
        <v>0.75</v>
      </c>
      <c r="G150" s="57" t="str">
        <v>简体中文</v>
      </c>
      <c r="H150" s="31" t="n">
        <v>4.01</v>
      </c>
      <c r="I150" s="33" t="n">
        <v>321</v>
      </c>
      <c r="J150" s="34" t="n">
        <v>46288.95763888889</v>
      </c>
      <c r="K150" s="57" t="str">
        <v>未显示收录</v>
      </c>
      <c r="L150" s="59" t="str">
        <v>查看港服</v>
      </c>
      <c r="M150" s="63" t="str">
        <v>表列普通折扣价；PS Plus或有额外折扣</v>
      </c>
    </row>
    <row r="151" ht="36" customHeight="1">
      <c r="A151" s="56" t="n">
        <v>144</v>
      </c>
      <c r="B151" s="46" t="str">
        <v>異夢迷城</v>
      </c>
      <c r="C151" s="58" t="str">
        <v>PS4 / PS5</v>
      </c>
      <c r="D151" s="48" t="n">
        <f>ROUND(E151*$B$4,2)</f>
        <v>13.86</v>
      </c>
      <c r="E151" s="49" t="n">
        <v>16.2</v>
      </c>
      <c r="F151" s="50" t="n">
        <v>0.85</v>
      </c>
      <c r="G151" s="58" t="str">
        <v>简繁中文</v>
      </c>
      <c r="H151" s="49" t="n">
        <v>3.96</v>
      </c>
      <c r="I151" s="51" t="n">
        <v>300</v>
      </c>
      <c r="J151" s="52" t="n">
        <v>46288.95763888889</v>
      </c>
      <c r="K151" s="58" t="str">
        <v>未显示收录</v>
      </c>
      <c r="L151" s="60" t="str">
        <v>查看港服</v>
      </c>
      <c r="M151" s="64" t="str"/>
    </row>
    <row r="152" ht="36" customHeight="1">
      <c r="A152" s="55" t="n">
        <v>145</v>
      </c>
      <c r="B152" s="28" t="str">
        <v>Time Carnage</v>
      </c>
      <c r="C152" s="57" t="str">
        <v>PS4</v>
      </c>
      <c r="D152" s="30" t="n">
        <f>ROUND(E152*$B$4,2)</f>
        <v>50.66</v>
      </c>
      <c r="E152" s="31" t="n">
        <v>59.2</v>
      </c>
      <c r="F152" s="32" t="n">
        <v>0.6</v>
      </c>
      <c r="G152" s="57" t="str">
        <v>简体中文</v>
      </c>
      <c r="H152" s="31" t="n">
        <v>4.25</v>
      </c>
      <c r="I152" s="33" t="n">
        <v>296</v>
      </c>
      <c r="J152" s="34" t="n">
        <v>46288.95763888889</v>
      </c>
      <c r="K152" s="57" t="str">
        <v>未显示收录</v>
      </c>
      <c r="L152" s="59" t="str">
        <v>查看港服</v>
      </c>
      <c r="M152" s="63" t="str">
        <v>含VR相关要求，购买前查看商品页</v>
      </c>
    </row>
    <row r="153" ht="36" customHeight="1">
      <c r="A153" s="56" t="n">
        <v>146</v>
      </c>
      <c r="B153" s="46" t="str">
        <v>Easy Delivery Co.</v>
      </c>
      <c r="C153" s="58" t="str">
        <v>PS5</v>
      </c>
      <c r="D153" s="48" t="n">
        <f>ROUND(E153*$B$4,2)</f>
        <v>50.06</v>
      </c>
      <c r="E153" s="49" t="n">
        <v>58.5</v>
      </c>
      <c r="F153" s="50" t="n">
        <v>0.25</v>
      </c>
      <c r="G153" s="58" t="str">
        <v>简繁中文</v>
      </c>
      <c r="H153" s="49" t="n">
        <v>4.56</v>
      </c>
      <c r="I153" s="51" t="n">
        <v>273</v>
      </c>
      <c r="J153" s="52" t="n">
        <v>46288.95763888889</v>
      </c>
      <c r="K153" s="58" t="str">
        <v>未显示收录</v>
      </c>
      <c r="L153" s="60" t="str">
        <v>查看港服</v>
      </c>
      <c r="M153" s="64" t="str"/>
    </row>
    <row r="154" ht="36" customHeight="1">
      <c r="A154" s="55" t="n">
        <v>147</v>
      </c>
      <c r="B154" s="28" t="str">
        <v>Captain Puff MacFly</v>
      </c>
      <c r="C154" s="57" t="str">
        <v>PS5</v>
      </c>
      <c r="D154" s="30" t="n">
        <f>ROUND(E154*$B$4,2)</f>
        <v>8.47</v>
      </c>
      <c r="E154" s="31" t="n">
        <v>9.9</v>
      </c>
      <c r="F154" s="32" t="n">
        <v>0.45</v>
      </c>
      <c r="G154" s="57" t="str">
        <v>未列中文</v>
      </c>
      <c r="H154" s="31" t="n">
        <v>3.95</v>
      </c>
      <c r="I154" s="33" t="n">
        <v>266</v>
      </c>
      <c r="J154" s="34" t="n">
        <v>46288.95763888889</v>
      </c>
      <c r="K154" s="57" t="str">
        <v>未显示收录</v>
      </c>
      <c r="L154" s="59" t="str">
        <v>查看港服</v>
      </c>
      <c r="M154" s="63" t="str">
        <v>表列普通折扣价；PS Plus或有额外折扣；另有限时试玩</v>
      </c>
    </row>
    <row r="155" ht="36" customHeight="1">
      <c r="A155" s="56" t="n">
        <v>148</v>
      </c>
      <c r="B155" s="46" t="str">
        <v>綠植小築</v>
      </c>
      <c r="C155" s="58" t="str">
        <v>PS5</v>
      </c>
      <c r="D155" s="48" t="n">
        <f>ROUND(E155*$B$4,2)</f>
        <v>53.4</v>
      </c>
      <c r="E155" s="49" t="n">
        <v>62.4</v>
      </c>
      <c r="F155" s="50" t="n">
        <v>0.2</v>
      </c>
      <c r="G155" s="58" t="str">
        <v>简繁中文</v>
      </c>
      <c r="H155" s="49" t="n">
        <v>4.66</v>
      </c>
      <c r="I155" s="51" t="n">
        <v>265</v>
      </c>
      <c r="J155" s="52" t="n">
        <v>46288.95763888889</v>
      </c>
      <c r="K155" s="58" t="str">
        <v>未显示收录</v>
      </c>
      <c r="L155" s="60" t="str">
        <v>查看港服</v>
      </c>
      <c r="M155" s="64" t="str"/>
    </row>
    <row r="156" ht="36" customHeight="1">
      <c r="A156" s="55" t="n">
        <v>149</v>
      </c>
      <c r="B156" s="28" t="str">
        <v>Lacuna</v>
      </c>
      <c r="C156" s="57" t="str">
        <v>PS4</v>
      </c>
      <c r="D156" s="30" t="n">
        <f>ROUND(E156*$B$4,2)</f>
        <v>12.66</v>
      </c>
      <c r="E156" s="31" t="n">
        <v>14.8</v>
      </c>
      <c r="F156" s="32" t="n">
        <v>0.9</v>
      </c>
      <c r="G156" s="57" t="str">
        <v>简繁中文</v>
      </c>
      <c r="H156" s="31" t="n">
        <v>4.43</v>
      </c>
      <c r="I156" s="33" t="n">
        <v>265</v>
      </c>
      <c r="J156" s="34" t="n">
        <v>46288.95763888889</v>
      </c>
      <c r="K156" s="57" t="str">
        <v>未显示收录</v>
      </c>
      <c r="L156" s="59" t="str">
        <v>查看港服</v>
      </c>
      <c r="M156" s="63" t="str"/>
    </row>
    <row r="157" ht="36" customHeight="1">
      <c r="A157" s="56" t="n">
        <v>150</v>
      </c>
      <c r="B157" s="46" t="str">
        <v>Bus Simulator : World Tour &amp; EVO</v>
      </c>
      <c r="C157" s="58" t="str">
        <v>PS4 / PS5</v>
      </c>
      <c r="D157" s="48" t="n">
        <f>ROUND(E157*$B$4,2)</f>
        <v>81.46</v>
      </c>
      <c r="E157" s="49" t="n">
        <v>95.2</v>
      </c>
      <c r="F157" s="50" t="n">
        <v>0.6</v>
      </c>
      <c r="G157" s="58" t="str">
        <v>未列中文</v>
      </c>
      <c r="H157" s="49" t="n">
        <v>3.38</v>
      </c>
      <c r="I157" s="51" t="n">
        <v>264</v>
      </c>
      <c r="J157" s="52" t="n">
        <v>46288.95763888889</v>
      </c>
      <c r="K157" s="58" t="str">
        <v>未显示收录</v>
      </c>
      <c r="L157" s="60" t="str">
        <v>查看港服</v>
      </c>
      <c r="M157" s="64" t="str"/>
    </row>
    <row r="158" ht="36" customHeight="1">
      <c r="A158" s="55" t="n">
        <v>151</v>
      </c>
      <c r="B158" s="28" t="str">
        <v>Windswept</v>
      </c>
      <c r="C158" s="57" t="str">
        <v>PS4 / PS5</v>
      </c>
      <c r="D158" s="30" t="n">
        <f>ROUND(E158*$B$4,2)</f>
        <v>69.31</v>
      </c>
      <c r="E158" s="31" t="n">
        <v>81</v>
      </c>
      <c r="F158" s="32" t="n">
        <v>0.25</v>
      </c>
      <c r="G158" s="57" t="str">
        <v>简繁中文</v>
      </c>
      <c r="H158" s="31" t="n">
        <v>4.05</v>
      </c>
      <c r="I158" s="33" t="n">
        <v>256</v>
      </c>
      <c r="J158" s="34" t="n">
        <v>46288.95763888889</v>
      </c>
      <c r="K158" s="57" t="str">
        <v>未显示收录</v>
      </c>
      <c r="L158" s="59" t="str">
        <v>查看港服</v>
      </c>
      <c r="M158" s="63" t="str"/>
    </row>
    <row r="159" ht="36" customHeight="1">
      <c r="A159" s="56" t="n">
        <v>152</v>
      </c>
      <c r="B159" s="46" t="str">
        <v>Summer Games Beach Volley</v>
      </c>
      <c r="C159" s="58" t="str">
        <v>PS5</v>
      </c>
      <c r="D159" s="48" t="n">
        <f>ROUND(E159*$B$4,2)</f>
        <v>46.72</v>
      </c>
      <c r="E159" s="49" t="n">
        <v>54.6</v>
      </c>
      <c r="F159" s="50" t="n">
        <v>0.3</v>
      </c>
      <c r="G159" s="58" t="str">
        <v>未列中文</v>
      </c>
      <c r="H159" s="49" t="n">
        <v>1.3</v>
      </c>
      <c r="I159" s="51" t="n">
        <v>254</v>
      </c>
      <c r="J159" s="52" t="n">
        <v>46288.95763888889</v>
      </c>
      <c r="K159" s="58" t="str">
        <v>未显示收录</v>
      </c>
      <c r="L159" s="60" t="str">
        <v>查看港服</v>
      </c>
      <c r="M159" s="64" t="str">
        <v>表列普通折扣价；PS Plus或有额外折扣</v>
      </c>
    </row>
    <row r="160" ht="36" customHeight="1">
      <c r="A160" s="55" t="n">
        <v>153</v>
      </c>
      <c r="B160" s="28" t="str">
        <v>Lil' Guardsman</v>
      </c>
      <c r="C160" s="57" t="str">
        <v>PS4 / PS5</v>
      </c>
      <c r="D160" s="30" t="n">
        <f>ROUND(E160*$B$4,2)</f>
        <v>31.66</v>
      </c>
      <c r="E160" s="31" t="n">
        <v>37</v>
      </c>
      <c r="F160" s="32" t="n">
        <v>0.75</v>
      </c>
      <c r="G160" s="57" t="str">
        <v>简体中文</v>
      </c>
      <c r="H160" s="31" t="n">
        <v>4.4</v>
      </c>
      <c r="I160" s="33" t="n">
        <v>253</v>
      </c>
      <c r="J160" s="34" t="n">
        <v>46288.95763888889</v>
      </c>
      <c r="K160" s="57" t="str">
        <v>未显示收录</v>
      </c>
      <c r="L160" s="59" t="str">
        <v>查看港服</v>
      </c>
      <c r="M160" s="63" t="str">
        <v>另有限时试玩</v>
      </c>
    </row>
    <row r="161" ht="36" customHeight="1">
      <c r="A161" s="56" t="n">
        <v>154</v>
      </c>
      <c r="B161" s="46" t="str">
        <v>瑞利達</v>
      </c>
      <c r="C161" s="58" t="str">
        <v>PS4</v>
      </c>
      <c r="D161" s="48" t="n">
        <f>ROUND(E161*$B$4,2)</f>
        <v>12.75</v>
      </c>
      <c r="E161" s="49" t="n">
        <v>14.9</v>
      </c>
      <c r="F161" s="50" t="n">
        <v>0.9</v>
      </c>
      <c r="G161" s="58" t="str">
        <v>简繁中文</v>
      </c>
      <c r="H161" s="49" t="n">
        <v>3.94</v>
      </c>
      <c r="I161" s="51" t="n">
        <v>252</v>
      </c>
      <c r="J161" s="52" t="n">
        <v>46288.95763888889</v>
      </c>
      <c r="K161" s="58" t="str">
        <v>未显示收录</v>
      </c>
      <c r="L161" s="60" t="str">
        <v>查看港服</v>
      </c>
      <c r="M161" s="64" t="str"/>
    </row>
    <row r="162" ht="36" customHeight="1">
      <c r="A162" s="55" t="n">
        <v>155</v>
      </c>
      <c r="B162" s="28" t="str">
        <v>TOSS!</v>
      </c>
      <c r="C162" s="57" t="str">
        <v>PS5</v>
      </c>
      <c r="D162" s="30" t="n">
        <f>ROUND(E162*$B$4,2)</f>
        <v>20.02</v>
      </c>
      <c r="E162" s="31" t="n">
        <v>23.4</v>
      </c>
      <c r="F162" s="32" t="n">
        <v>0.7</v>
      </c>
      <c r="G162" s="57" t="str">
        <v>简体中文</v>
      </c>
      <c r="H162" s="31" t="n">
        <v>4.2</v>
      </c>
      <c r="I162" s="33" t="n">
        <v>252</v>
      </c>
      <c r="J162" s="34" t="n">
        <v>46288.95763888889</v>
      </c>
      <c r="K162" s="57" t="str">
        <v>未显示收录</v>
      </c>
      <c r="L162" s="59" t="str">
        <v>查看港服</v>
      </c>
      <c r="M162" s="63" t="str">
        <v>含VR相关要求，购买前查看商品页</v>
      </c>
    </row>
    <row r="163" ht="36" customHeight="1">
      <c r="A163" s="56" t="n">
        <v>156</v>
      </c>
      <c r="B163" s="46" t="str">
        <v>Pro Formula Racing</v>
      </c>
      <c r="C163" s="58" t="str">
        <v>PS4</v>
      </c>
      <c r="D163" s="48" t="n">
        <f>ROUND(E163*$B$4,2)</f>
        <v>46.72</v>
      </c>
      <c r="E163" s="49" t="n">
        <v>54.6</v>
      </c>
      <c r="F163" s="50" t="n">
        <v>0.3</v>
      </c>
      <c r="G163" s="58" t="str">
        <v>未列中文</v>
      </c>
      <c r="H163" s="49" t="n">
        <v>1.45</v>
      </c>
      <c r="I163" s="51" t="n">
        <v>248</v>
      </c>
      <c r="J163" s="52" t="n">
        <v>46288.95763888889</v>
      </c>
      <c r="K163" s="58" t="str">
        <v>未显示收录</v>
      </c>
      <c r="L163" s="60" t="str">
        <v>查看港服</v>
      </c>
      <c r="M163" s="64" t="str">
        <v>表列普通折扣价；PS Plus或有额外折扣</v>
      </c>
    </row>
    <row r="164" ht="36" customHeight="1">
      <c r="A164" s="55" t="n">
        <v>157</v>
      </c>
      <c r="B164" s="28" t="str">
        <v>达芬奇密室（The House of Da Vinci）</v>
      </c>
      <c r="C164" s="57" t="str">
        <v>PS5</v>
      </c>
      <c r="D164" s="30" t="n">
        <f>ROUND(E164*$B$4,2)</f>
        <v>84.71</v>
      </c>
      <c r="E164" s="31" t="n">
        <v>99</v>
      </c>
      <c r="F164" s="32" t="n">
        <v>0.5</v>
      </c>
      <c r="G164" s="57" t="str">
        <v>简体中文</v>
      </c>
      <c r="H164" s="31" t="n">
        <v>4.28</v>
      </c>
      <c r="I164" s="33" t="n">
        <v>241</v>
      </c>
      <c r="J164" s="34" t="n">
        <v>46288.95763888889</v>
      </c>
      <c r="K164" s="57" t="str">
        <v>未显示收录</v>
      </c>
      <c r="L164" s="59" t="str">
        <v>查看港服</v>
      </c>
      <c r="M164" s="63" t="str"/>
    </row>
    <row r="165" ht="36" customHeight="1">
      <c r="A165" s="56" t="n">
        <v>158</v>
      </c>
      <c r="B165" s="46" t="str">
        <v>Rue Valley</v>
      </c>
      <c r="C165" s="58" t="str">
        <v>PS4 / PS5</v>
      </c>
      <c r="D165" s="48" t="n">
        <f>ROUND(E165*$B$4,2)</f>
        <v>26.7</v>
      </c>
      <c r="E165" s="49" t="n">
        <v>31.2</v>
      </c>
      <c r="F165" s="50" t="n">
        <v>0.6</v>
      </c>
      <c r="G165" s="58" t="str">
        <v>简体中文</v>
      </c>
      <c r="H165" s="49" t="n">
        <v>3.83</v>
      </c>
      <c r="I165" s="51" t="n">
        <v>240</v>
      </c>
      <c r="J165" s="52" t="n">
        <v>46288.95763888889</v>
      </c>
      <c r="K165" s="58" t="str">
        <v>未显示收录</v>
      </c>
      <c r="L165" s="60" t="str">
        <v>查看港服</v>
      </c>
      <c r="M165" s="64" t="str"/>
    </row>
    <row r="166" ht="36" customHeight="1">
      <c r="A166" s="55" t="n">
        <v>159</v>
      </c>
      <c r="B166" s="28" t="str">
        <v>Itorah</v>
      </c>
      <c r="C166" s="57" t="str">
        <v>PS4</v>
      </c>
      <c r="D166" s="30" t="n">
        <f>ROUND(E166*$B$4,2)</f>
        <v>12.66</v>
      </c>
      <c r="E166" s="31" t="n">
        <v>14.8</v>
      </c>
      <c r="F166" s="32" t="n">
        <v>0.9</v>
      </c>
      <c r="G166" s="57" t="str">
        <v>简繁中文</v>
      </c>
      <c r="H166" s="31" t="n">
        <v>3.78</v>
      </c>
      <c r="I166" s="33" t="n">
        <v>240</v>
      </c>
      <c r="J166" s="34" t="n">
        <v>46288.95763888889</v>
      </c>
      <c r="K166" s="57" t="str">
        <v>未显示收录</v>
      </c>
      <c r="L166" s="59" t="str">
        <v>查看港服</v>
      </c>
      <c r="M166" s="63" t="str"/>
    </row>
    <row r="167" ht="36" customHeight="1">
      <c r="A167" s="56" t="n">
        <v>160</v>
      </c>
      <c r="B167" s="46" t="str">
        <v>Builder Simulator</v>
      </c>
      <c r="C167" s="58" t="str">
        <v>PS4</v>
      </c>
      <c r="D167" s="48" t="n">
        <f>ROUND(E167*$B$4,2)</f>
        <v>76.24</v>
      </c>
      <c r="E167" s="49" t="n">
        <v>89.1</v>
      </c>
      <c r="F167" s="50" t="n">
        <v>0.55</v>
      </c>
      <c r="G167" s="58" t="str">
        <v>简繁中文</v>
      </c>
      <c r="H167" s="49" t="n">
        <v>3.28</v>
      </c>
      <c r="I167" s="51" t="n">
        <v>235</v>
      </c>
      <c r="J167" s="52" t="n">
        <v>46288.95763888889</v>
      </c>
      <c r="K167" s="58" t="str">
        <v>未显示收录</v>
      </c>
      <c r="L167" s="60" t="str">
        <v>查看港服</v>
      </c>
      <c r="M167" s="64" t="str"/>
    </row>
    <row r="168" ht="36" customHeight="1">
      <c r="A168" s="55" t="n">
        <v>161</v>
      </c>
      <c r="B168" s="28" t="str">
        <v>Spray Paint Simulator</v>
      </c>
      <c r="C168" s="57" t="str">
        <v>PS5</v>
      </c>
      <c r="D168" s="30" t="n">
        <f>ROUND(E168*$B$4,2)</f>
        <v>69.31</v>
      </c>
      <c r="E168" s="31" t="n">
        <v>81</v>
      </c>
      <c r="F168" s="32" t="n">
        <v>0.25</v>
      </c>
      <c r="G168" s="57" t="str">
        <v>简繁中文</v>
      </c>
      <c r="H168" s="31" t="n">
        <v>3.53</v>
      </c>
      <c r="I168" s="33" t="n">
        <v>234</v>
      </c>
      <c r="J168" s="34" t="n">
        <v>46288.95763888889</v>
      </c>
      <c r="K168" s="57" t="str">
        <v>未显示收录</v>
      </c>
      <c r="L168" s="59" t="str">
        <v>查看港服</v>
      </c>
      <c r="M168" s="63" t="str"/>
    </row>
    <row r="169" ht="36" customHeight="1">
      <c r="A169" s="56" t="n">
        <v>162</v>
      </c>
      <c r="B169" s="46" t="str">
        <v>WINGSPAN (展翅翱翔) PS4 &amp; PS5</v>
      </c>
      <c r="C169" s="58" t="str">
        <v>PS4 / PS5</v>
      </c>
      <c r="D169" s="48" t="n">
        <f>ROUND(E169*$B$4,2)</f>
        <v>46.21</v>
      </c>
      <c r="E169" s="49" t="n">
        <v>54</v>
      </c>
      <c r="F169" s="50" t="n">
        <v>0.5</v>
      </c>
      <c r="G169" s="58" t="str">
        <v>简繁中文</v>
      </c>
      <c r="H169" s="49" t="n">
        <v>4.64</v>
      </c>
      <c r="I169" s="51" t="n">
        <v>230</v>
      </c>
      <c r="J169" s="52" t="n">
        <v>46288.95763888889</v>
      </c>
      <c r="K169" s="58" t="str">
        <v>未显示收录</v>
      </c>
      <c r="L169" s="60" t="str">
        <v>查看港服</v>
      </c>
      <c r="M169" s="64" t="str"/>
    </row>
    <row r="170" ht="36" customHeight="1">
      <c r="A170" s="55" t="n">
        <v>163</v>
      </c>
      <c r="B170" s="28" t="str">
        <v>MY REALITY SIDE</v>
      </c>
      <c r="C170" s="57" t="str">
        <v>PS4</v>
      </c>
      <c r="D170" s="30" t="n">
        <f>ROUND(E170*$B$4,2)</f>
        <v>41.59</v>
      </c>
      <c r="E170" s="31" t="n">
        <v>48.6</v>
      </c>
      <c r="F170" s="32" t="n">
        <v>0.55</v>
      </c>
      <c r="G170" s="57" t="str">
        <v>未列中文</v>
      </c>
      <c r="H170" s="31" t="n">
        <v>1.62</v>
      </c>
      <c r="I170" s="33" t="n">
        <v>228</v>
      </c>
      <c r="J170" s="34" t="n">
        <v>46288.95763888889</v>
      </c>
      <c r="K170" s="57" t="str">
        <v>未显示收录</v>
      </c>
      <c r="L170" s="59" t="str">
        <v>查看港服</v>
      </c>
      <c r="M170" s="63" t="str">
        <v>表列普通折扣价；PS Plus或有额外折扣</v>
      </c>
    </row>
    <row r="171" ht="36" customHeight="1">
      <c r="A171" s="56" t="n">
        <v>164</v>
      </c>
      <c r="B171" s="46" t="str">
        <v>扳机魔女（Trigger Witch）</v>
      </c>
      <c r="C171" s="58" t="str">
        <v>PS4 / PS5</v>
      </c>
      <c r="D171" s="48" t="n">
        <f>ROUND(E171*$B$4,2)</f>
        <v>36.97</v>
      </c>
      <c r="E171" s="49" t="n">
        <v>43.2</v>
      </c>
      <c r="F171" s="50" t="n">
        <v>0.6</v>
      </c>
      <c r="G171" s="58" t="str">
        <v>繁体中文</v>
      </c>
      <c r="H171" s="49" t="n">
        <v>4.48</v>
      </c>
      <c r="I171" s="51" t="n">
        <v>226</v>
      </c>
      <c r="J171" s="52" t="n">
        <v>46288.95763888889</v>
      </c>
      <c r="K171" s="58" t="str">
        <v>未显示收录</v>
      </c>
      <c r="L171" s="60" t="str">
        <v>查看港服</v>
      </c>
      <c r="M171" s="64" t="str"/>
    </row>
    <row r="172" ht="36" customHeight="1">
      <c r="A172" s="55" t="n">
        <v>165</v>
      </c>
      <c r="B172" s="28" t="str">
        <v>The King is Watching</v>
      </c>
      <c r="C172" s="57" t="str">
        <v>PS5</v>
      </c>
      <c r="D172" s="30" t="n">
        <f>ROUND(E172*$B$4,2)</f>
        <v>73.93</v>
      </c>
      <c r="E172" s="31" t="n">
        <v>86.4</v>
      </c>
      <c r="F172" s="32" t="n">
        <v>0.2</v>
      </c>
      <c r="G172" s="57" t="str">
        <v>简体中文</v>
      </c>
      <c r="H172" s="31" t="n">
        <v>4.47</v>
      </c>
      <c r="I172" s="33" t="n">
        <v>219</v>
      </c>
      <c r="J172" s="34" t="n">
        <v>46288.95763888889</v>
      </c>
      <c r="K172" s="57" t="str">
        <v>未显示收录</v>
      </c>
      <c r="L172" s="59" t="str">
        <v>查看港服</v>
      </c>
      <c r="M172" s="63" t="str">
        <v>表列普通折扣价；PS Plus或有额外折扣</v>
      </c>
    </row>
    <row r="173" ht="36" customHeight="1">
      <c r="A173" s="56" t="n">
        <v>166</v>
      </c>
      <c r="B173" s="46" t="str">
        <v>The Crimson Manor</v>
      </c>
      <c r="C173" s="58" t="str">
        <v>PS5</v>
      </c>
      <c r="D173" s="48" t="n">
        <f>ROUND(E173*$B$4,2)</f>
        <v>25.33</v>
      </c>
      <c r="E173" s="49" t="n">
        <v>29.6</v>
      </c>
      <c r="F173" s="50" t="n">
        <v>0.8</v>
      </c>
      <c r="G173" s="58" t="str">
        <v>简体中文</v>
      </c>
      <c r="H173" s="49" t="n">
        <v>4.29</v>
      </c>
      <c r="I173" s="51" t="n">
        <v>217</v>
      </c>
      <c r="J173" s="52" t="n">
        <v>46288.95763888889</v>
      </c>
      <c r="K173" s="58" t="str">
        <v>未显示收录</v>
      </c>
      <c r="L173" s="60" t="str">
        <v>查看港服</v>
      </c>
      <c r="M173" s="64" t="str">
        <v>表列普通折扣价；PS Plus或有额外折扣</v>
      </c>
    </row>
    <row r="174" ht="36" customHeight="1">
      <c r="A174" s="55" t="n">
        <v>167</v>
      </c>
      <c r="B174" s="28" t="str">
        <v>Pizza Tycoon</v>
      </c>
      <c r="C174" s="57" t="str">
        <v>PS4</v>
      </c>
      <c r="D174" s="30" t="n">
        <f>ROUND(E174*$B$4,2)</f>
        <v>9.24</v>
      </c>
      <c r="E174" s="31" t="n">
        <v>10.8</v>
      </c>
      <c r="F174" s="32" t="n">
        <v>0.9</v>
      </c>
      <c r="G174" s="57" t="str">
        <v>简繁中文</v>
      </c>
      <c r="H174" s="31" t="n">
        <v>1.8</v>
      </c>
      <c r="I174" s="33" t="n">
        <v>215</v>
      </c>
      <c r="J174" s="34" t="n">
        <v>46288.95763888889</v>
      </c>
      <c r="K174" s="57" t="str">
        <v>未显示收录</v>
      </c>
      <c r="L174" s="59" t="str">
        <v>查看港服</v>
      </c>
      <c r="M174" s="63" t="str"/>
    </row>
    <row r="175" ht="36" customHeight="1">
      <c r="A175" s="56" t="n">
        <v>168</v>
      </c>
      <c r="B175" s="46" t="str">
        <v>Pro Flight Simulator</v>
      </c>
      <c r="C175" s="58" t="str">
        <v>PS5</v>
      </c>
      <c r="D175" s="48" t="n">
        <f>ROUND(E175*$B$4,2)</f>
        <v>88.65</v>
      </c>
      <c r="E175" s="49" t="n">
        <v>103.6</v>
      </c>
      <c r="F175" s="50" t="n">
        <v>0.3</v>
      </c>
      <c r="G175" s="58" t="str">
        <v>未列中文</v>
      </c>
      <c r="H175" s="49" t="n">
        <v>1.55</v>
      </c>
      <c r="I175" s="51" t="n">
        <v>213</v>
      </c>
      <c r="J175" s="52" t="n">
        <v>46288.95763888889</v>
      </c>
      <c r="K175" s="58" t="str">
        <v>未显示收录</v>
      </c>
      <c r="L175" s="60" t="str">
        <v>查看港服</v>
      </c>
      <c r="M175" s="64" t="str">
        <v>表列普通折扣价；PS Plus或有额外折扣</v>
      </c>
    </row>
    <row r="176" ht="36" customHeight="1">
      <c r="A176" s="55" t="n">
        <v>169</v>
      </c>
      <c r="B176" s="28" t="str">
        <v>Fossilfuel 2</v>
      </c>
      <c r="C176" s="57" t="str">
        <v>PS5</v>
      </c>
      <c r="D176" s="30" t="n">
        <f>ROUND(E176*$B$4,2)</f>
        <v>88.65</v>
      </c>
      <c r="E176" s="31" t="n">
        <v>103.6</v>
      </c>
      <c r="F176" s="32" t="n">
        <v>0.3</v>
      </c>
      <c r="G176" s="57" t="str">
        <v>简体中文</v>
      </c>
      <c r="H176" s="31" t="n">
        <v>3.73</v>
      </c>
      <c r="I176" s="33" t="n">
        <v>208</v>
      </c>
      <c r="J176" s="34" t="n">
        <v>46288.95763888889</v>
      </c>
      <c r="K176" s="57" t="str">
        <v>未显示收录</v>
      </c>
      <c r="L176" s="59" t="str">
        <v>查看港服</v>
      </c>
      <c r="M176" s="63" t="str">
        <v>表列普通折扣价；PS Plus或有额外折扣</v>
      </c>
    </row>
    <row r="177" ht="36" customHeight="1">
      <c r="A177" s="56" t="n">
        <v>170</v>
      </c>
      <c r="B177" s="46" t="str">
        <v>闻菇而战</v>
      </c>
      <c r="C177" s="58" t="str">
        <v>PS5</v>
      </c>
      <c r="D177" s="48" t="n">
        <f>ROUND(E177*$B$4,2)</f>
        <v>50.83</v>
      </c>
      <c r="E177" s="49" t="n">
        <v>59.4</v>
      </c>
      <c r="F177" s="50" t="n">
        <v>0.7</v>
      </c>
      <c r="G177" s="58" t="str">
        <v>简体中文</v>
      </c>
      <c r="H177" s="49" t="n">
        <v>3.25</v>
      </c>
      <c r="I177" s="51" t="n">
        <v>204</v>
      </c>
      <c r="J177" s="52" t="n">
        <v>46288.95763888889</v>
      </c>
      <c r="K177" s="58" t="str">
        <v>未显示收录</v>
      </c>
      <c r="L177" s="60" t="str">
        <v>查看港服</v>
      </c>
      <c r="M177" s="64" t="str"/>
    </row>
    <row r="178" ht="36" customHeight="1">
      <c r="A178" s="55" t="n">
        <v>171</v>
      </c>
      <c r="B178" s="28" t="str">
        <v>Hidden Kittens: Kingdom of Cats</v>
      </c>
      <c r="C178" s="57" t="str">
        <v>PS4</v>
      </c>
      <c r="D178" s="30" t="n">
        <f>ROUND(E178*$B$4,2)</f>
        <v>7.7</v>
      </c>
      <c r="E178" s="31" t="n">
        <v>9</v>
      </c>
      <c r="F178" s="32" t="n">
        <v>0.5</v>
      </c>
      <c r="G178" s="57" t="str">
        <v>未列中文</v>
      </c>
      <c r="H178" s="31" t="n">
        <v>4.46</v>
      </c>
      <c r="I178" s="33" t="n">
        <v>204</v>
      </c>
      <c r="J178" s="34" t="n">
        <v>46288.95763888889</v>
      </c>
      <c r="K178" s="57" t="str">
        <v>未显示收录</v>
      </c>
      <c r="L178" s="59" t="str">
        <v>查看港服</v>
      </c>
      <c r="M178" s="63" t="str">
        <v>表列普通折扣价；PS Plus或有额外折扣</v>
      </c>
    </row>
    <row r="179" ht="36" customHeight="1">
      <c r="A179" s="56" t="n">
        <v>172</v>
      </c>
      <c r="B179" s="46" t="str">
        <v>Hitchhiker - A Mystery Game</v>
      </c>
      <c r="C179" s="58" t="str">
        <v>PS4</v>
      </c>
      <c r="D179" s="48" t="n">
        <f>ROUND(E179*$B$4,2)</f>
        <v>31.66</v>
      </c>
      <c r="E179" s="49" t="n">
        <v>37</v>
      </c>
      <c r="F179" s="50" t="n">
        <v>0.75</v>
      </c>
      <c r="G179" s="58" t="str">
        <v>简繁中文</v>
      </c>
      <c r="H179" s="49" t="n">
        <v>3.47</v>
      </c>
      <c r="I179" s="51" t="n">
        <v>202</v>
      </c>
      <c r="J179" s="52" t="n">
        <v>46288.95763888889</v>
      </c>
      <c r="K179" s="58" t="str">
        <v>未显示收录</v>
      </c>
      <c r="L179" s="60" t="str">
        <v>查看港服</v>
      </c>
      <c r="M179" s="64" t="str">
        <v>表列普通折扣价；PS Plus或有额外折扣</v>
      </c>
    </row>
    <row r="180" ht="36" customHeight="1">
      <c r="A180" s="55" t="n">
        <v>173</v>
      </c>
      <c r="B180" s="28" t="str">
        <v>Before We Leave</v>
      </c>
      <c r="C180" s="57" t="str">
        <v>PS4 / PS5</v>
      </c>
      <c r="D180" s="30" t="n">
        <f>ROUND(E180*$B$4,2)</f>
        <v>31.66</v>
      </c>
      <c r="E180" s="31" t="n">
        <v>37</v>
      </c>
      <c r="F180" s="32" t="n">
        <v>0.75</v>
      </c>
      <c r="G180" s="57" t="str">
        <v>简体中文</v>
      </c>
      <c r="H180" s="31" t="n">
        <v>3.9</v>
      </c>
      <c r="I180" s="33" t="n">
        <v>200</v>
      </c>
      <c r="J180" s="34" t="n">
        <v>46288.95763888889</v>
      </c>
      <c r="K180" s="57" t="str">
        <v>未显示收录</v>
      </c>
      <c r="L180" s="59" t="str">
        <v>查看港服</v>
      </c>
      <c r="M180" s="63" t="str"/>
    </row>
    <row r="181" ht="36" customHeight="1">
      <c r="A181" s="56" t="n">
        <v>174</v>
      </c>
      <c r="B181" s="46" t="str">
        <v>Little Strays 2: Legacy Edition</v>
      </c>
      <c r="C181" s="58" t="str">
        <v>PS5</v>
      </c>
      <c r="D181" s="48" t="n">
        <f>ROUND(E181*$B$4,2)</f>
        <v>30.55</v>
      </c>
      <c r="E181" s="49" t="n">
        <v>35.7</v>
      </c>
      <c r="F181" s="50" t="n">
        <v>0.85</v>
      </c>
      <c r="G181" s="58" t="str">
        <v>简繁中文</v>
      </c>
      <c r="H181" s="49" t="n">
        <v>1.44</v>
      </c>
      <c r="I181" s="51" t="n">
        <v>200</v>
      </c>
      <c r="J181" s="52" t="n">
        <v>46288.95763888889</v>
      </c>
      <c r="K181" s="58" t="str">
        <v>未显示收录</v>
      </c>
      <c r="L181" s="60" t="str">
        <v>查看港服</v>
      </c>
      <c r="M181" s="64" t="str"/>
    </row>
    <row r="182" ht="36" customHeight="1">
      <c r="A182" s="55" t="n">
        <v>175</v>
      </c>
      <c r="B182" s="28" t="str">
        <v>Chained Survive Together</v>
      </c>
      <c r="C182" s="57" t="str">
        <v>PS4</v>
      </c>
      <c r="D182" s="30" t="n">
        <f>ROUND(E182*$B$4,2)</f>
        <v>21.14</v>
      </c>
      <c r="E182" s="31" t="n">
        <v>24.7</v>
      </c>
      <c r="F182" s="32" t="n">
        <v>0.35</v>
      </c>
      <c r="G182" s="57" t="str">
        <v>未列中文</v>
      </c>
      <c r="H182" s="31" t="n">
        <v>1.57</v>
      </c>
      <c r="I182" s="33" t="n">
        <v>198</v>
      </c>
      <c r="J182" s="34" t="n">
        <v>46288.95763888889</v>
      </c>
      <c r="K182" s="57" t="str">
        <v>未显示收录</v>
      </c>
      <c r="L182" s="59" t="str">
        <v>查看港服</v>
      </c>
      <c r="M182" s="63" t="str">
        <v>表列普通折扣价；PS Plus或有额外折扣</v>
      </c>
    </row>
    <row r="183" ht="36" customHeight="1">
      <c r="A183" s="56" t="n">
        <v>176</v>
      </c>
      <c r="B183" s="46" t="str">
        <v>Creepy Tale</v>
      </c>
      <c r="C183" s="58" t="str">
        <v>PS4</v>
      </c>
      <c r="D183" s="48" t="n">
        <f>ROUND(E183*$B$4,2)</f>
        <v>26.7</v>
      </c>
      <c r="E183" s="49" t="n">
        <v>31.2</v>
      </c>
      <c r="F183" s="50" t="n">
        <v>0.6</v>
      </c>
      <c r="G183" s="58" t="str">
        <v>简繁中文</v>
      </c>
      <c r="H183" s="49" t="n">
        <v>4.01</v>
      </c>
      <c r="I183" s="51" t="n">
        <v>196</v>
      </c>
      <c r="J183" s="52" t="n">
        <v>46288.95763888889</v>
      </c>
      <c r="K183" s="58" t="str">
        <v>未显示收录</v>
      </c>
      <c r="L183" s="60" t="str">
        <v>查看港服</v>
      </c>
      <c r="M183" s="64" t="str">
        <v>表列普通折扣价；PS Plus或有额外折扣</v>
      </c>
    </row>
    <row r="184" ht="36" customHeight="1">
      <c r="A184" s="55" t="n">
        <v>177</v>
      </c>
      <c r="B184" s="28" t="str">
        <v>3D MiniGolf</v>
      </c>
      <c r="C184" s="57" t="str">
        <v>PS4</v>
      </c>
      <c r="D184" s="30" t="n">
        <f>ROUND(E184*$B$4,2)</f>
        <v>75.99</v>
      </c>
      <c r="E184" s="31" t="n">
        <v>88.8</v>
      </c>
      <c r="F184" s="32" t="n">
        <v>0.4</v>
      </c>
      <c r="G184" s="57" t="str">
        <v>未列中文</v>
      </c>
      <c r="H184" s="31" t="n">
        <v>2.7</v>
      </c>
      <c r="I184" s="33" t="n">
        <v>191</v>
      </c>
      <c r="J184" s="34" t="n">
        <v>46288.95763888889</v>
      </c>
      <c r="K184" s="57" t="str">
        <v>未显示收录</v>
      </c>
      <c r="L184" s="59" t="str">
        <v>查看港服</v>
      </c>
      <c r="M184" s="63" t="str"/>
    </row>
    <row r="185" ht="36" customHeight="1">
      <c r="A185" s="56" t="n">
        <v>178</v>
      </c>
      <c r="B185" s="46" t="str">
        <v>XEL</v>
      </c>
      <c r="C185" s="58" t="str">
        <v>PS4</v>
      </c>
      <c r="D185" s="48" t="n">
        <f>ROUND(E185*$B$4,2)</f>
        <v>12.66</v>
      </c>
      <c r="E185" s="49" t="n">
        <v>14.8</v>
      </c>
      <c r="F185" s="50" t="n">
        <v>0.9</v>
      </c>
      <c r="G185" s="58" t="str">
        <v>简繁中文</v>
      </c>
      <c r="H185" s="49" t="n">
        <v>2.97</v>
      </c>
      <c r="I185" s="51" t="n">
        <v>184</v>
      </c>
      <c r="J185" s="52" t="n">
        <v>46288.95763888889</v>
      </c>
      <c r="K185" s="58" t="str">
        <v>未显示收录</v>
      </c>
      <c r="L185" s="60" t="str">
        <v>查看港服</v>
      </c>
      <c r="M185" s="64" t="str"/>
    </row>
    <row r="186" ht="36" customHeight="1">
      <c r="A186" s="55" t="n">
        <v>179</v>
      </c>
      <c r="B186" s="28" t="str">
        <v>XEL - Complete Edition</v>
      </c>
      <c r="C186" s="57" t="str">
        <v>PS4</v>
      </c>
      <c r="D186" s="30" t="n">
        <f>ROUND(E186*$B$4,2)</f>
        <v>16.94</v>
      </c>
      <c r="E186" s="31" t="n">
        <v>19.8</v>
      </c>
      <c r="F186" s="32" t="n">
        <v>0.9</v>
      </c>
      <c r="G186" s="57" t="str">
        <v>简繁中文</v>
      </c>
      <c r="H186" s="31" t="n">
        <v>2.97</v>
      </c>
      <c r="I186" s="33" t="n">
        <v>184</v>
      </c>
      <c r="J186" s="34" t="n">
        <v>46288.95763888889</v>
      </c>
      <c r="K186" s="57" t="str">
        <v>未显示收录</v>
      </c>
      <c r="L186" s="59" t="str">
        <v>查看港服</v>
      </c>
      <c r="M186" s="63" t="str"/>
    </row>
    <row r="187" ht="36" customHeight="1">
      <c r="A187" s="56" t="n">
        <v>180</v>
      </c>
      <c r="B187" s="46" t="str">
        <v>Helicopter Flight Simulator</v>
      </c>
      <c r="C187" s="58" t="str">
        <v>PS4</v>
      </c>
      <c r="D187" s="48" t="n">
        <f>ROUND(E187*$B$4,2)</f>
        <v>36.97</v>
      </c>
      <c r="E187" s="49" t="n">
        <v>43.2</v>
      </c>
      <c r="F187" s="50" t="n">
        <v>0.6</v>
      </c>
      <c r="G187" s="58" t="str">
        <v>未列中文</v>
      </c>
      <c r="H187" s="49" t="n">
        <v>1.46</v>
      </c>
      <c r="I187" s="51" t="n">
        <v>183</v>
      </c>
      <c r="J187" s="52" t="n">
        <v>46288.95763888889</v>
      </c>
      <c r="K187" s="58" t="str">
        <v>未显示收录</v>
      </c>
      <c r="L187" s="60" t="str">
        <v>查看港服</v>
      </c>
      <c r="M187" s="64" t="str">
        <v>表列普通折扣价；PS Plus或有额外折扣</v>
      </c>
    </row>
    <row r="188" ht="36" customHeight="1">
      <c r="A188" s="55" t="n">
        <v>181</v>
      </c>
      <c r="B188" s="28" t="str">
        <v>Cats and Seek : Osaka</v>
      </c>
      <c r="C188" s="57" t="str">
        <v>PS4</v>
      </c>
      <c r="D188" s="30" t="n">
        <f>ROUND(E188*$B$4,2)</f>
        <v>7.7</v>
      </c>
      <c r="E188" s="31" t="n">
        <v>9</v>
      </c>
      <c r="F188" s="32" t="n">
        <v>0.5</v>
      </c>
      <c r="G188" s="57" t="str">
        <v>简繁中文</v>
      </c>
      <c r="H188" s="31" t="n">
        <v>3.79</v>
      </c>
      <c r="I188" s="33" t="n">
        <v>179</v>
      </c>
      <c r="J188" s="34" t="n">
        <v>46288.95763888889</v>
      </c>
      <c r="K188" s="57" t="str">
        <v>未显示收录</v>
      </c>
      <c r="L188" s="59" t="str">
        <v>查看港服</v>
      </c>
      <c r="M188" s="63" t="str">
        <v>表列普通折扣价；PS Plus或有额外折扣</v>
      </c>
    </row>
    <row r="189" ht="36" customHeight="1">
      <c r="A189" s="56" t="n">
        <v>182</v>
      </c>
      <c r="B189" s="46" t="str">
        <v>《超能連結：星火戰旗》</v>
      </c>
      <c r="C189" s="58" t="str">
        <v>PS5</v>
      </c>
      <c r="D189" s="48" t="n">
        <f>ROUND(E189*$B$4,2)</f>
        <v>16.26</v>
      </c>
      <c r="E189" s="49" t="n">
        <v>19</v>
      </c>
      <c r="F189" s="50" t="n">
        <v>0.75</v>
      </c>
      <c r="G189" s="58" t="str">
        <v>简繁中文</v>
      </c>
      <c r="H189" s="49" t="n">
        <v>4.34</v>
      </c>
      <c r="I189" s="51" t="n">
        <v>179</v>
      </c>
      <c r="J189" s="52" t="n">
        <v>46288.95763888889</v>
      </c>
      <c r="K189" s="58" t="str">
        <v>未显示收录</v>
      </c>
      <c r="L189" s="60" t="str">
        <v>查看港服</v>
      </c>
      <c r="M189" s="64" t="str"/>
    </row>
    <row r="190" ht="36" customHeight="1">
      <c r="A190" s="55" t="n">
        <v>183</v>
      </c>
      <c r="B190" s="28" t="str">
        <v>Enclave HD</v>
      </c>
      <c r="C190" s="57" t="str">
        <v>PS4 / PS5</v>
      </c>
      <c r="D190" s="30" t="n">
        <f>ROUND(E190*$B$4,2)</f>
        <v>50.66</v>
      </c>
      <c r="E190" s="31" t="n">
        <v>59.2</v>
      </c>
      <c r="F190" s="32" t="n">
        <v>0.6</v>
      </c>
      <c r="G190" s="57" t="str">
        <v>未列中文</v>
      </c>
      <c r="H190" s="31" t="n">
        <v>4.22</v>
      </c>
      <c r="I190" s="33" t="n">
        <v>169</v>
      </c>
      <c r="J190" s="34" t="n">
        <v>46288.95763888889</v>
      </c>
      <c r="K190" s="57" t="str">
        <v>未显示收录</v>
      </c>
      <c r="L190" s="59" t="str">
        <v>查看港服</v>
      </c>
      <c r="M190" s="63" t="str"/>
    </row>
    <row r="191" ht="36" customHeight="1">
      <c r="A191" s="56" t="n">
        <v>184</v>
      </c>
      <c r="B191" s="46" t="str">
        <v>Goodnight Universe</v>
      </c>
      <c r="C191" s="58" t="str">
        <v>PS5</v>
      </c>
      <c r="D191" s="48" t="n">
        <f>ROUND(E191*$B$4,2)</f>
        <v>88.65</v>
      </c>
      <c r="E191" s="49" t="n">
        <v>103.6</v>
      </c>
      <c r="F191" s="50" t="n">
        <v>0.3</v>
      </c>
      <c r="G191" s="58" t="str">
        <v>简繁中文</v>
      </c>
      <c r="H191" s="49" t="n">
        <v>4.87</v>
      </c>
      <c r="I191" s="51" t="n">
        <v>164</v>
      </c>
      <c r="J191" s="52" t="n">
        <v>46288.95763888889</v>
      </c>
      <c r="K191" s="58" t="str">
        <v>未显示收录</v>
      </c>
      <c r="L191" s="60" t="str">
        <v>查看港服</v>
      </c>
      <c r="M191" s="64" t="str"/>
    </row>
    <row r="192" ht="36" customHeight="1">
      <c r="A192" s="55" t="n">
        <v>185</v>
      </c>
      <c r="B192" s="28" t="str">
        <v>Hidden Cats in Christmas</v>
      </c>
      <c r="C192" s="57" t="str">
        <v>PS4</v>
      </c>
      <c r="D192" s="30" t="n">
        <f>ROUND(E192*$B$4,2)</f>
        <v>22.76</v>
      </c>
      <c r="E192" s="31" t="n">
        <v>26.6</v>
      </c>
      <c r="F192" s="32" t="n">
        <v>0.3</v>
      </c>
      <c r="G192" s="57" t="str">
        <v>未列中文</v>
      </c>
      <c r="H192" s="31" t="n">
        <v>4.85</v>
      </c>
      <c r="I192" s="33" t="n">
        <v>157</v>
      </c>
      <c r="J192" s="34" t="n">
        <v>46288.95763888889</v>
      </c>
      <c r="K192" s="57" t="str">
        <v>未显示收录</v>
      </c>
      <c r="L192" s="59" t="str">
        <v>查看港服</v>
      </c>
      <c r="M192" s="63" t="str">
        <v>表列普通折扣价；PS Plus或有额外折扣</v>
      </c>
    </row>
    <row r="193" ht="36" customHeight="1">
      <c r="A193" s="56" t="n">
        <v>186</v>
      </c>
      <c r="B193" s="46" t="str">
        <v>Masters Pool HD</v>
      </c>
      <c r="C193" s="58" t="str">
        <v>PS5</v>
      </c>
      <c r="D193" s="48" t="n">
        <f>ROUND(E193*$B$4,2)</f>
        <v>22.76</v>
      </c>
      <c r="E193" s="49" t="n">
        <v>26.6</v>
      </c>
      <c r="F193" s="50" t="n">
        <v>0.3</v>
      </c>
      <c r="G193" s="58" t="str">
        <v>未列中文</v>
      </c>
      <c r="H193" s="49" t="n">
        <v>1.37</v>
      </c>
      <c r="I193" s="51" t="n">
        <v>155</v>
      </c>
      <c r="J193" s="52" t="n">
        <v>46288.95763888889</v>
      </c>
      <c r="K193" s="58" t="str">
        <v>未显示收录</v>
      </c>
      <c r="L193" s="60" t="str">
        <v>查看港服</v>
      </c>
      <c r="M193" s="64" t="str">
        <v>表列普通折扣价；PS Plus或有额外折扣</v>
      </c>
    </row>
    <row r="194" ht="36" customHeight="1">
      <c r="A194" s="55" t="n">
        <v>187</v>
      </c>
      <c r="B194" s="28" t="str">
        <v>Grand Slam Tennis</v>
      </c>
      <c r="C194" s="57" t="str">
        <v>PS4</v>
      </c>
      <c r="D194" s="30" t="n">
        <f>ROUND(E194*$B$4,2)</f>
        <v>22.76</v>
      </c>
      <c r="E194" s="31" t="n">
        <v>26.6</v>
      </c>
      <c r="F194" s="32" t="n">
        <v>0.3</v>
      </c>
      <c r="G194" s="57" t="str">
        <v>未列中文</v>
      </c>
      <c r="H194" s="31" t="n">
        <v>1.31</v>
      </c>
      <c r="I194" s="33" t="n">
        <v>145</v>
      </c>
      <c r="J194" s="34" t="n">
        <v>46288.95763888889</v>
      </c>
      <c r="K194" s="57" t="str">
        <v>未显示收录</v>
      </c>
      <c r="L194" s="59" t="str">
        <v>查看港服</v>
      </c>
      <c r="M194" s="63" t="str">
        <v>表列普通折扣价；PS Plus或有额外折扣</v>
      </c>
    </row>
    <row r="195" ht="36" customHeight="1">
      <c r="A195" s="56" t="n">
        <v>188</v>
      </c>
      <c r="B195" s="46" t="str">
        <v>Yaga</v>
      </c>
      <c r="C195" s="58" t="str">
        <v>PS4</v>
      </c>
      <c r="D195" s="48" t="n">
        <f>ROUND(E195*$B$4,2)</f>
        <v>42.36</v>
      </c>
      <c r="E195" s="49" t="n">
        <v>49.5</v>
      </c>
      <c r="F195" s="50" t="n">
        <v>0.75</v>
      </c>
      <c r="G195" s="58" t="str">
        <v>未列中文</v>
      </c>
      <c r="H195" s="49" t="n">
        <v>4.23</v>
      </c>
      <c r="I195" s="51" t="n">
        <v>145</v>
      </c>
      <c r="J195" s="52" t="n">
        <v>46288.95763888889</v>
      </c>
      <c r="K195" s="58" t="str">
        <v>未显示收录</v>
      </c>
      <c r="L195" s="60" t="str">
        <v>查看港服</v>
      </c>
      <c r="M195" s="64" t="str">
        <v>表列普通折扣价；PS Plus或有额外折扣</v>
      </c>
    </row>
    <row r="196" ht="36" customHeight="1">
      <c r="A196" s="55" t="n">
        <v>189</v>
      </c>
      <c r="B196" s="28" t="str">
        <v>Cardpocalypse</v>
      </c>
      <c r="C196" s="57" t="str">
        <v>PS4</v>
      </c>
      <c r="D196" s="30" t="n">
        <f>ROUND(E196*$B$4,2)</f>
        <v>42.36</v>
      </c>
      <c r="E196" s="31" t="n">
        <v>49.5</v>
      </c>
      <c r="F196" s="32" t="n">
        <v>0.75</v>
      </c>
      <c r="G196" s="57" t="str">
        <v>有中文</v>
      </c>
      <c r="H196" s="31" t="n">
        <v>4.41</v>
      </c>
      <c r="I196" s="33" t="n">
        <v>141</v>
      </c>
      <c r="J196" s="34" t="n">
        <v>46288.95763888889</v>
      </c>
      <c r="K196" s="57" t="str">
        <v>未显示收录</v>
      </c>
      <c r="L196" s="59" t="str">
        <v>查看港服</v>
      </c>
      <c r="M196" s="63" t="str">
        <v>表列普通折扣价；PS Plus或有额外折扣</v>
      </c>
    </row>
    <row r="197" ht="36" customHeight="1">
      <c r="A197" s="56" t="n">
        <v>190</v>
      </c>
      <c r="B197" s="46" t="str">
        <v>Cardpocalypse: Time Warp Edition</v>
      </c>
      <c r="C197" s="58" t="str">
        <v>PS4</v>
      </c>
      <c r="D197" s="48" t="n">
        <f>ROUND(E197*$B$4,2)</f>
        <v>50.91</v>
      </c>
      <c r="E197" s="49" t="n">
        <v>59.5</v>
      </c>
      <c r="F197" s="50" t="n">
        <v>0.75</v>
      </c>
      <c r="G197" s="58" t="str">
        <v>未列中文</v>
      </c>
      <c r="H197" s="49" t="n">
        <v>4.41</v>
      </c>
      <c r="I197" s="51" t="n">
        <v>141</v>
      </c>
      <c r="J197" s="52" t="n">
        <v>46288.95763888889</v>
      </c>
      <c r="K197" s="58" t="str">
        <v>未显示收录</v>
      </c>
      <c r="L197" s="60" t="str">
        <v>查看港服</v>
      </c>
      <c r="M197" s="64" t="str">
        <v>表列普通折扣价；PS Plus或有额外折扣</v>
      </c>
    </row>
    <row r="198" ht="36" customHeight="1">
      <c r="A198" s="55" t="n">
        <v>191</v>
      </c>
      <c r="B198" s="28" t="str">
        <v>Warzone Chronicles: Virtual Warfare Shooter</v>
      </c>
      <c r="C198" s="57" t="str">
        <v>PS4</v>
      </c>
      <c r="D198" s="30" t="n">
        <f>ROUND(E198*$B$4,2)</f>
        <v>41.59</v>
      </c>
      <c r="E198" s="31" t="n">
        <v>48.6</v>
      </c>
      <c r="F198" s="32" t="n">
        <v>0.55</v>
      </c>
      <c r="G198" s="57" t="str">
        <v>未列中文</v>
      </c>
      <c r="H198" s="31" t="n">
        <v>1.31</v>
      </c>
      <c r="I198" s="33" t="n">
        <v>141</v>
      </c>
      <c r="J198" s="34" t="n">
        <v>46288.95763888889</v>
      </c>
      <c r="K198" s="57" t="str">
        <v>未显示收录</v>
      </c>
      <c r="L198" s="59" t="str">
        <v>查看港服</v>
      </c>
      <c r="M198" s="63" t="str">
        <v>表列普通折扣价；PS Plus或有额外折扣</v>
      </c>
    </row>
    <row r="199" ht="36" customHeight="1">
      <c r="A199" s="56" t="n">
        <v>192</v>
      </c>
      <c r="B199" s="46" t="str">
        <v>Decollate Decoration</v>
      </c>
      <c r="C199" s="58" t="str">
        <v>PS4 / PS5</v>
      </c>
      <c r="D199" s="48" t="n">
        <f>ROUND(E199*$B$4,2)</f>
        <v>41.93</v>
      </c>
      <c r="E199" s="49" t="n">
        <v>49</v>
      </c>
      <c r="F199" s="50" t="n">
        <v>0.3</v>
      </c>
      <c r="G199" s="58" t="str">
        <v>简体中文</v>
      </c>
      <c r="H199" s="49" t="n">
        <v>4.73</v>
      </c>
      <c r="I199" s="51" t="n">
        <v>138</v>
      </c>
      <c r="J199" s="52" t="n">
        <v>46288.95763888889</v>
      </c>
      <c r="K199" s="58" t="str">
        <v>未显示收录</v>
      </c>
      <c r="L199" s="60" t="str">
        <v>查看港服</v>
      </c>
      <c r="M199" s="64" t="str">
        <v>表列普通折扣价；PS Plus或有额外折扣</v>
      </c>
    </row>
    <row r="200" ht="36" customHeight="1">
      <c r="A200" s="55" t="n">
        <v>193</v>
      </c>
      <c r="B200" s="28" t="str">
        <v>最後的營地</v>
      </c>
      <c r="C200" s="57" t="str">
        <v>PS5</v>
      </c>
      <c r="D200" s="30" t="n">
        <f>ROUND(E200*$B$4,2)</f>
        <v>89.25</v>
      </c>
      <c r="E200" s="31" t="n">
        <v>104.3</v>
      </c>
      <c r="F200" s="32" t="n">
        <v>0.3</v>
      </c>
      <c r="G200" s="57" t="str">
        <v>简繁中文</v>
      </c>
      <c r="H200" s="31" t="n">
        <v>2.59</v>
      </c>
      <c r="I200" s="33" t="n">
        <v>138</v>
      </c>
      <c r="J200" s="34" t="n">
        <v>46288.95763888889</v>
      </c>
      <c r="K200" s="57" t="str">
        <v>未显示收录</v>
      </c>
      <c r="L200" s="59" t="str">
        <v>查看港服</v>
      </c>
      <c r="M200" s="63" t="str"/>
    </row>
    <row r="201" ht="36" customHeight="1">
      <c r="A201" s="56" t="n">
        <v>194</v>
      </c>
      <c r="B201" s="46" t="str">
        <v>House Flipper VR</v>
      </c>
      <c r="C201" s="58" t="str">
        <v>PS4</v>
      </c>
      <c r="D201" s="48" t="n">
        <f>ROUND(E201*$B$4,2)</f>
        <v>36.97</v>
      </c>
      <c r="E201" s="49" t="n">
        <v>43.2</v>
      </c>
      <c r="F201" s="50" t="n">
        <v>0.6</v>
      </c>
      <c r="G201" s="58" t="str">
        <v>未列中文</v>
      </c>
      <c r="H201" s="49" t="n">
        <v>2.23</v>
      </c>
      <c r="I201" s="51" t="n">
        <v>138</v>
      </c>
      <c r="J201" s="52" t="n">
        <v>46288.95763888889</v>
      </c>
      <c r="K201" s="58" t="str">
        <v>未显示收录</v>
      </c>
      <c r="L201" s="60" t="str">
        <v>查看港服</v>
      </c>
      <c r="M201" s="64" t="str">
        <v>含VR相关要求，购买前查看商品页</v>
      </c>
    </row>
    <row r="202" ht="36" customHeight="1">
      <c r="A202" s="55" t="n">
        <v>195</v>
      </c>
      <c r="B202" s="28" t="str">
        <v>温泉物语（Hot Springs Story）</v>
      </c>
      <c r="C202" s="57" t="str">
        <v>PS4</v>
      </c>
      <c r="D202" s="30" t="n">
        <f>ROUND(E202*$B$4,2)</f>
        <v>51.34</v>
      </c>
      <c r="E202" s="31" t="n">
        <v>60</v>
      </c>
      <c r="F202" s="32" t="n">
        <v>0.5</v>
      </c>
      <c r="G202" s="57" t="str">
        <v>简繁中文</v>
      </c>
      <c r="H202" s="31" t="n">
        <v>4.47</v>
      </c>
      <c r="I202" s="33" t="n">
        <v>137</v>
      </c>
      <c r="J202" s="34" t="n">
        <v>46288.95763888889</v>
      </c>
      <c r="K202" s="57" t="str">
        <v>未显示收录</v>
      </c>
      <c r="L202" s="59" t="str">
        <v>查看港服</v>
      </c>
      <c r="M202" s="63" t="str"/>
    </row>
    <row r="203" ht="36" customHeight="1">
      <c r="A203" s="56" t="n">
        <v>196</v>
      </c>
      <c r="B203" s="46" t="str">
        <v>Another Dawn</v>
      </c>
      <c r="C203" s="58" t="str">
        <v>PS4</v>
      </c>
      <c r="D203" s="48" t="n">
        <f>ROUND(E203*$B$4,2)</f>
        <v>64.69</v>
      </c>
      <c r="E203" s="49" t="n">
        <v>75.6</v>
      </c>
      <c r="F203" s="50" t="n">
        <v>0.3</v>
      </c>
      <c r="G203" s="58" t="str">
        <v>简繁中文</v>
      </c>
      <c r="H203" s="49" t="n">
        <v>1.55</v>
      </c>
      <c r="I203" s="51" t="n">
        <v>137</v>
      </c>
      <c r="J203" s="52" t="n">
        <v>46288.95763888889</v>
      </c>
      <c r="K203" s="58" t="str">
        <v>未显示收录</v>
      </c>
      <c r="L203" s="60" t="str">
        <v>查看港服</v>
      </c>
      <c r="M203" s="64" t="str">
        <v>表列普通折扣价；PS Plus或有额外折扣</v>
      </c>
    </row>
    <row r="204" ht="36" customHeight="1">
      <c r="A204" s="55" t="n">
        <v>197</v>
      </c>
      <c r="B204" s="28" t="str">
        <v>Orbital Bullet</v>
      </c>
      <c r="C204" s="57" t="str">
        <v>PS4</v>
      </c>
      <c r="D204" s="30" t="n">
        <f>ROUND(E204*$B$4,2)</f>
        <v>12.66</v>
      </c>
      <c r="E204" s="31" t="n">
        <v>14.8</v>
      </c>
      <c r="F204" s="32" t="n">
        <v>0.9</v>
      </c>
      <c r="G204" s="57" t="str">
        <v>简繁中文</v>
      </c>
      <c r="H204" s="31" t="n">
        <v>4.34</v>
      </c>
      <c r="I204" s="33" t="n">
        <v>137</v>
      </c>
      <c r="J204" s="34" t="n">
        <v>46288.95763888889</v>
      </c>
      <c r="K204" s="57" t="str">
        <v>未显示收录</v>
      </c>
      <c r="L204" s="59" t="str">
        <v>查看港服</v>
      </c>
      <c r="M204" s="63" t="str"/>
    </row>
    <row r="205" ht="36" customHeight="1">
      <c r="A205" s="56" t="n">
        <v>198</v>
      </c>
      <c r="B205" s="46" t="str">
        <v>Beastro《歡迎光臨》</v>
      </c>
      <c r="C205" s="58" t="str">
        <v>PS5</v>
      </c>
      <c r="D205" s="48" t="n">
        <f>ROUND(E205*$B$4,2)</f>
        <v>94.98</v>
      </c>
      <c r="E205" s="49" t="n">
        <v>111</v>
      </c>
      <c r="F205" s="50" t="n">
        <v>0.25</v>
      </c>
      <c r="G205" s="58" t="str">
        <v>简体中文</v>
      </c>
      <c r="H205" s="49" t="n">
        <v>4.71</v>
      </c>
      <c r="I205" s="51" t="n">
        <v>133</v>
      </c>
      <c r="J205" s="52" t="n">
        <v>46288.95763888889</v>
      </c>
      <c r="K205" s="58" t="str">
        <v>未显示收录</v>
      </c>
      <c r="L205" s="60" t="str">
        <v>查看港服</v>
      </c>
      <c r="M205" s="64" t="str"/>
    </row>
    <row r="206" ht="36" customHeight="1">
      <c r="A206" s="55" t="n">
        <v>199</v>
      </c>
      <c r="B206" s="28" t="str">
        <v>Beat Hazard Arcade</v>
      </c>
      <c r="C206" s="57" t="str">
        <v>PS5</v>
      </c>
      <c r="D206" s="30" t="n">
        <f>ROUND(E206*$B$4,2)</f>
        <v>36.97</v>
      </c>
      <c r="E206" s="31" t="n">
        <v>43.2</v>
      </c>
      <c r="F206" s="32" t="n">
        <v>0.6</v>
      </c>
      <c r="G206" s="57" t="str">
        <v>简繁中文</v>
      </c>
      <c r="H206" s="31" t="n">
        <v>4.67</v>
      </c>
      <c r="I206" s="33" t="n">
        <v>130</v>
      </c>
      <c r="J206" s="34" t="n">
        <v>46288.95763888889</v>
      </c>
      <c r="K206" s="57" t="str">
        <v>未显示收录</v>
      </c>
      <c r="L206" s="59" t="str">
        <v>查看港服</v>
      </c>
      <c r="M206" s="63" t="str">
        <v>表列普通折扣价；PS Plus或有额外折扣</v>
      </c>
    </row>
    <row r="207" ht="36" customHeight="1">
      <c r="A207" s="56" t="n">
        <v>200</v>
      </c>
      <c r="B207" s="46" t="str">
        <v>Hairdresser Simulator</v>
      </c>
      <c r="C207" s="58" t="str">
        <v>PS5</v>
      </c>
      <c r="D207" s="48" t="n">
        <f>ROUND(E207*$B$4,2)</f>
        <v>69.65</v>
      </c>
      <c r="E207" s="49" t="n">
        <v>81.4</v>
      </c>
      <c r="F207" s="50" t="n">
        <v>0.45</v>
      </c>
      <c r="G207" s="58" t="str">
        <v>简繁中文</v>
      </c>
      <c r="H207" s="49" t="n">
        <v>3.34</v>
      </c>
      <c r="I207" s="51" t="n">
        <v>130</v>
      </c>
      <c r="J207" s="52" t="n">
        <v>46288.95763888889</v>
      </c>
      <c r="K207" s="58" t="str">
        <v>未显示收录</v>
      </c>
      <c r="L207" s="60" t="str">
        <v>查看港服</v>
      </c>
      <c r="M207" s="64" t="str"/>
    </row>
    <row r="208" ht="36" customHeight="1">
      <c r="A208" s="55" t="n">
        <v>201</v>
      </c>
      <c r="B208" s="28" t="str">
        <v>SOULVARS</v>
      </c>
      <c r="C208" s="57" t="str">
        <v>PS4 / PS5</v>
      </c>
      <c r="D208" s="30" t="n">
        <f>ROUND(E208*$B$4,2)</f>
        <v>12.66</v>
      </c>
      <c r="E208" s="31" t="n">
        <v>14.8</v>
      </c>
      <c r="F208" s="32" t="n">
        <v>0.9</v>
      </c>
      <c r="G208" s="57" t="str">
        <v>简繁中文</v>
      </c>
      <c r="H208" s="31" t="n">
        <v>4.1</v>
      </c>
      <c r="I208" s="33" t="n">
        <v>129</v>
      </c>
      <c r="J208" s="34" t="n">
        <v>46288.95763888889</v>
      </c>
      <c r="K208" s="57" t="str">
        <v>未显示收录</v>
      </c>
      <c r="L208" s="59" t="str">
        <v>查看港服</v>
      </c>
      <c r="M208" s="63" t="str"/>
    </row>
    <row r="209" ht="36" customHeight="1">
      <c r="A209" s="56" t="n">
        <v>202</v>
      </c>
      <c r="B209" s="46" t="str">
        <v>Basketball Legends 24</v>
      </c>
      <c r="C209" s="58" t="str">
        <v>PS4</v>
      </c>
      <c r="D209" s="48" t="n">
        <f>ROUND(E209*$B$4,2)</f>
        <v>60.07</v>
      </c>
      <c r="E209" s="49" t="n">
        <v>70.2</v>
      </c>
      <c r="F209" s="50" t="n">
        <v>0.35</v>
      </c>
      <c r="G209" s="58" t="str">
        <v>未列中文</v>
      </c>
      <c r="H209" s="49" t="n">
        <v>1.45</v>
      </c>
      <c r="I209" s="51" t="n">
        <v>126</v>
      </c>
      <c r="J209" s="52" t="n">
        <v>46288.95763888889</v>
      </c>
      <c r="K209" s="58" t="str">
        <v>未显示收录</v>
      </c>
      <c r="L209" s="60" t="str">
        <v>查看港服</v>
      </c>
      <c r="M209" s="64" t="str">
        <v>表列普通折扣价；PS Plus或有额外折扣</v>
      </c>
    </row>
    <row r="210" ht="36" customHeight="1">
      <c r="A210" s="55" t="n">
        <v>203</v>
      </c>
      <c r="B210" s="28" t="str">
        <v>Robots at Midnight</v>
      </c>
      <c r="C210" s="57" t="str">
        <v>PS5</v>
      </c>
      <c r="D210" s="30" t="n">
        <f>ROUND(E210*$B$4,2)</f>
        <v>63.32</v>
      </c>
      <c r="E210" s="31" t="n">
        <v>74</v>
      </c>
      <c r="F210" s="32" t="n">
        <v>0.5</v>
      </c>
      <c r="G210" s="57" t="str">
        <v>简繁中文</v>
      </c>
      <c r="H210" s="31" t="n">
        <v>4.31</v>
      </c>
      <c r="I210" s="33" t="n">
        <v>124</v>
      </c>
      <c r="J210" s="34" t="n">
        <v>46288.95763888889</v>
      </c>
      <c r="K210" s="57" t="str">
        <v>未显示收录</v>
      </c>
      <c r="L210" s="59" t="str">
        <v>查看港服</v>
      </c>
      <c r="M210" s="63" t="str"/>
    </row>
    <row r="211" ht="36" customHeight="1">
      <c r="A211" s="56" t="n">
        <v>204</v>
      </c>
      <c r="B211" s="46" t="str">
        <v>Two Strikes</v>
      </c>
      <c r="C211" s="58" t="str">
        <v>PS5</v>
      </c>
      <c r="D211" s="48" t="n">
        <f>ROUND(E211*$B$4,2)</f>
        <v>82.32</v>
      </c>
      <c r="E211" s="49" t="n">
        <v>96.2</v>
      </c>
      <c r="F211" s="50" t="n">
        <v>0.35</v>
      </c>
      <c r="G211" s="58" t="str">
        <v>简繁中文</v>
      </c>
      <c r="H211" s="49" t="n">
        <v>4.57</v>
      </c>
      <c r="I211" s="51" t="n">
        <v>118</v>
      </c>
      <c r="J211" s="52" t="n">
        <v>46288.95763888889</v>
      </c>
      <c r="K211" s="58" t="str">
        <v>未显示收录</v>
      </c>
      <c r="L211" s="60" t="str">
        <v>查看港服</v>
      </c>
      <c r="M211" s="64" t="str"/>
    </row>
    <row r="212" ht="36" customHeight="1">
      <c r="A212" s="55" t="n">
        <v>205</v>
      </c>
      <c r="B212" s="28" t="str">
        <v>Galagi Shooter PS4 &amp; PS5</v>
      </c>
      <c r="C212" s="57" t="str">
        <v>PS4</v>
      </c>
      <c r="D212" s="30" t="n">
        <f>ROUND(E212*$B$4,2)</f>
        <v>10.78</v>
      </c>
      <c r="E212" s="31" t="n">
        <v>12.6</v>
      </c>
      <c r="F212" s="32" t="n">
        <v>0.3</v>
      </c>
      <c r="G212" s="57" t="str">
        <v>未列中文</v>
      </c>
      <c r="H212" s="31" t="n">
        <v>2.76</v>
      </c>
      <c r="I212" s="33" t="n">
        <v>115</v>
      </c>
      <c r="J212" s="34" t="n">
        <v>46288.95763888889</v>
      </c>
      <c r="K212" s="57" t="str">
        <v>未显示收录</v>
      </c>
      <c r="L212" s="59" t="str">
        <v>查看港服</v>
      </c>
      <c r="M212" s="63" t="str">
        <v>表列普通折扣价；PS Plus或有额外折扣</v>
      </c>
    </row>
    <row r="213" ht="36" customHeight="1">
      <c r="A213" s="56" t="n">
        <v>206</v>
      </c>
      <c r="B213" s="46" t="str">
        <v>Encodya</v>
      </c>
      <c r="C213" s="58" t="str">
        <v>PS4</v>
      </c>
      <c r="D213" s="48" t="n">
        <f>ROUND(E213*$B$4,2)</f>
        <v>20.37</v>
      </c>
      <c r="E213" s="49" t="n">
        <v>23.8</v>
      </c>
      <c r="F213" s="50" t="n">
        <v>0.9</v>
      </c>
      <c r="G213" s="58" t="str">
        <v>简体中文</v>
      </c>
      <c r="H213" s="49" t="n">
        <v>3.65</v>
      </c>
      <c r="I213" s="51" t="n">
        <v>114</v>
      </c>
      <c r="J213" s="52" t="n">
        <v>46288.95763888889</v>
      </c>
      <c r="K213" s="58" t="str">
        <v>未显示收录</v>
      </c>
      <c r="L213" s="60" t="str">
        <v>查看港服</v>
      </c>
      <c r="M213" s="64" t="str"/>
    </row>
    <row r="214" ht="36" customHeight="1">
      <c r="A214" s="55" t="n">
        <v>207</v>
      </c>
      <c r="B214" s="28" t="str">
        <v>Three Minutes To Eight</v>
      </c>
      <c r="C214" s="57" t="str">
        <v>PS4</v>
      </c>
      <c r="D214" s="30" t="n">
        <f>ROUND(E214*$B$4,2)</f>
        <v>9.24</v>
      </c>
      <c r="E214" s="31" t="n">
        <v>10.8</v>
      </c>
      <c r="F214" s="32" t="n">
        <v>0.9</v>
      </c>
      <c r="G214" s="57" t="str">
        <v>简繁中文</v>
      </c>
      <c r="H214" s="31" t="n">
        <v>4.05</v>
      </c>
      <c r="I214" s="33" t="n">
        <v>114</v>
      </c>
      <c r="J214" s="34" t="n">
        <v>46288.95763888889</v>
      </c>
      <c r="K214" s="57" t="str">
        <v>未显示收录</v>
      </c>
      <c r="L214" s="59" t="str">
        <v>查看港服</v>
      </c>
      <c r="M214" s="63" t="str"/>
    </row>
    <row r="215" ht="36" customHeight="1">
      <c r="A215" s="56" t="n">
        <v>208</v>
      </c>
      <c r="B215" s="46" t="str">
        <v>TRON: Catalyst</v>
      </c>
      <c r="C215" s="58" t="str">
        <v>PS5</v>
      </c>
      <c r="D215" s="48" t="n">
        <f>ROUND(E215*$B$4,2)</f>
        <v>94.98</v>
      </c>
      <c r="E215" s="49" t="n">
        <v>111</v>
      </c>
      <c r="F215" s="50" t="n">
        <v>0.25</v>
      </c>
      <c r="G215" s="58" t="str">
        <v>简繁中文</v>
      </c>
      <c r="H215" s="49" t="n">
        <v>4.19</v>
      </c>
      <c r="I215" s="51" t="n">
        <v>114</v>
      </c>
      <c r="J215" s="52" t="n">
        <v>46288.95763888889</v>
      </c>
      <c r="K215" s="58" t="str">
        <v>未显示收录</v>
      </c>
      <c r="L215" s="60" t="str">
        <v>查看港服</v>
      </c>
      <c r="M215" s="64" t="str"/>
    </row>
    <row r="216" ht="36" customHeight="1">
      <c r="A216" s="55" t="n">
        <v>209</v>
      </c>
      <c r="B216" s="28" t="str">
        <v>World Cup Soccer 2026</v>
      </c>
      <c r="C216" s="57" t="str">
        <v>PS4</v>
      </c>
      <c r="D216" s="30" t="n">
        <f>ROUND(E216*$B$4,2)</f>
        <v>22.76</v>
      </c>
      <c r="E216" s="31" t="n">
        <v>26.6</v>
      </c>
      <c r="F216" s="32" t="n">
        <v>0.3</v>
      </c>
      <c r="G216" s="57" t="str">
        <v>未列中文</v>
      </c>
      <c r="H216" s="31" t="n">
        <v>1.53</v>
      </c>
      <c r="I216" s="33" t="n">
        <v>113</v>
      </c>
      <c r="J216" s="34" t="n">
        <v>46288.95763888889</v>
      </c>
      <c r="K216" s="57" t="str">
        <v>未显示收录</v>
      </c>
      <c r="L216" s="59" t="str">
        <v>查看港服</v>
      </c>
      <c r="M216" s="63" t="str">
        <v>表列普通折扣价；PS Plus或有额外折扣</v>
      </c>
    </row>
    <row r="217" ht="44" customHeight="1">
      <c r="A217" s="56" t="n">
        <v>210</v>
      </c>
      <c r="B217" s="46" t="str">
        <v>Warfront Tactics: Battlefield Chronicles Battle Simulator</v>
      </c>
      <c r="C217" s="58" t="str">
        <v>PS4</v>
      </c>
      <c r="D217" s="48" t="n">
        <f>ROUND(E217*$B$4,2)</f>
        <v>43.38</v>
      </c>
      <c r="E217" s="49" t="n">
        <v>50.7</v>
      </c>
      <c r="F217" s="50" t="n">
        <v>0.35</v>
      </c>
      <c r="G217" s="58" t="str">
        <v>未列中文</v>
      </c>
      <c r="H217" s="49" t="n">
        <v>2.09</v>
      </c>
      <c r="I217" s="51" t="n">
        <v>112</v>
      </c>
      <c r="J217" s="52" t="n">
        <v>46288.95763888889</v>
      </c>
      <c r="K217" s="58" t="str">
        <v>未显示收录</v>
      </c>
      <c r="L217" s="60" t="str">
        <v>查看港服</v>
      </c>
      <c r="M217" s="64" t="str">
        <v>表列普通折扣价；PS Plus或有额外折扣</v>
      </c>
    </row>
    <row r="218" ht="36" customHeight="1">
      <c r="A218" s="55" t="n">
        <v>211</v>
      </c>
      <c r="B218" s="28" t="str">
        <v>Super Mombo Quest</v>
      </c>
      <c r="C218" s="57" t="str">
        <v>PS4</v>
      </c>
      <c r="D218" s="30" t="n">
        <f>ROUND(E218*$B$4,2)</f>
        <v>36.97</v>
      </c>
      <c r="E218" s="31" t="n">
        <v>43.2</v>
      </c>
      <c r="F218" s="32" t="n">
        <v>0.6</v>
      </c>
      <c r="G218" s="57" t="str">
        <v>未列中文</v>
      </c>
      <c r="H218" s="31" t="n">
        <v>4.5</v>
      </c>
      <c r="I218" s="33" t="n">
        <v>109</v>
      </c>
      <c r="J218" s="34" t="n">
        <v>46288.95763888889</v>
      </c>
      <c r="K218" s="57" t="str">
        <v>未显示收录</v>
      </c>
      <c r="L218" s="59" t="str">
        <v>查看港服</v>
      </c>
      <c r="M218" s="63" t="str">
        <v>表列普通折扣价；PS Plus或有额外折扣</v>
      </c>
    </row>
    <row r="219" ht="36" customHeight="1">
      <c r="A219" s="56" t="n">
        <v>212</v>
      </c>
      <c r="B219" s="46" t="str">
        <v>Barista Simulator</v>
      </c>
      <c r="C219" s="58" t="str">
        <v>PS5</v>
      </c>
      <c r="D219" s="48" t="n">
        <f>ROUND(E219*$B$4,2)</f>
        <v>37.99</v>
      </c>
      <c r="E219" s="49" t="n">
        <v>44.4</v>
      </c>
      <c r="F219" s="50" t="n">
        <v>0.7</v>
      </c>
      <c r="G219" s="58" t="str">
        <v>未列中文</v>
      </c>
      <c r="H219" s="49" t="n">
        <v>3.79</v>
      </c>
      <c r="I219" s="51" t="n">
        <v>107</v>
      </c>
      <c r="J219" s="52" t="n">
        <v>46288.95763888889</v>
      </c>
      <c r="K219" s="58" t="str">
        <v>未显示收录</v>
      </c>
      <c r="L219" s="60" t="str">
        <v>查看港服</v>
      </c>
      <c r="M219" s="64" t="str">
        <v>表列普通折扣价；PS Plus或有额外折扣</v>
      </c>
    </row>
    <row r="220" ht="36" customHeight="1">
      <c r="A220" s="55" t="n">
        <v>213</v>
      </c>
      <c r="B220" s="28" t="str">
        <v>Trident's Tale</v>
      </c>
      <c r="C220" s="57" t="str">
        <v>PS4</v>
      </c>
      <c r="D220" s="30" t="n">
        <f>ROUND(E220*$B$4,2)</f>
        <v>37.99</v>
      </c>
      <c r="E220" s="31" t="n">
        <v>44.4</v>
      </c>
      <c r="F220" s="32" t="n">
        <v>0.7</v>
      </c>
      <c r="G220" s="57" t="str">
        <v>简繁中文</v>
      </c>
      <c r="H220" s="31" t="n">
        <v>3.64</v>
      </c>
      <c r="I220" s="33" t="n">
        <v>104</v>
      </c>
      <c r="J220" s="34" t="n">
        <v>46288.95763888889</v>
      </c>
      <c r="K220" s="57" t="str">
        <v>未显示收录</v>
      </c>
      <c r="L220" s="59" t="str">
        <v>查看港服</v>
      </c>
      <c r="M220" s="63" t="str"/>
    </row>
    <row r="221" ht="36" customHeight="1">
      <c r="A221" s="56" t="n">
        <v>214</v>
      </c>
      <c r="B221" s="46" t="str">
        <v>Between Horizons</v>
      </c>
      <c r="C221" s="58" t="str">
        <v>PS5</v>
      </c>
      <c r="D221" s="48" t="n">
        <f>ROUND(E221*$B$4,2)</f>
        <v>13.86</v>
      </c>
      <c r="E221" s="49" t="n">
        <v>16.2</v>
      </c>
      <c r="F221" s="50" t="n">
        <v>0.85</v>
      </c>
      <c r="G221" s="58" t="str">
        <v>简繁中文</v>
      </c>
      <c r="H221" s="49" t="n">
        <v>4.4</v>
      </c>
      <c r="I221" s="51" t="n">
        <v>103</v>
      </c>
      <c r="J221" s="52" t="n">
        <v>46288.95763888889</v>
      </c>
      <c r="K221" s="58" t="str">
        <v>未显示收录</v>
      </c>
      <c r="L221" s="60" t="str">
        <v>查看港服</v>
      </c>
      <c r="M221" s="64" t="str"/>
    </row>
    <row r="222" ht="36" customHeight="1">
      <c r="A222" s="55" t="n">
        <v>215</v>
      </c>
      <c r="B222" s="28" t="str">
        <v>海洋幻想 / Sea Fantasy</v>
      </c>
      <c r="C222" s="57" t="str">
        <v>PS5</v>
      </c>
      <c r="D222" s="30" t="n">
        <f>ROUND(E222*$B$4,2)</f>
        <v>55.45</v>
      </c>
      <c r="E222" s="31" t="n">
        <v>64.8</v>
      </c>
      <c r="F222" s="32" t="n">
        <v>0.4</v>
      </c>
      <c r="G222" s="57" t="str">
        <v>简繁中文</v>
      </c>
      <c r="H222" s="31" t="n">
        <v>4.62</v>
      </c>
      <c r="I222" s="33" t="n">
        <v>103</v>
      </c>
      <c r="J222" s="34" t="n">
        <v>46288.95763888889</v>
      </c>
      <c r="K222" s="57" t="str">
        <v>未显示收录</v>
      </c>
      <c r="L222" s="59" t="str">
        <v>查看港服</v>
      </c>
      <c r="M222" s="63" t="str"/>
    </row>
    <row r="223" ht="36" customHeight="1">
      <c r="A223" s="56" t="n">
        <v>216</v>
      </c>
      <c r="B223" s="46" t="str">
        <v>Cats Around Us: Giant Cat</v>
      </c>
      <c r="C223" s="58" t="str">
        <v>PS4</v>
      </c>
      <c r="D223" s="48" t="n">
        <f>ROUND(E223*$B$4,2)</f>
        <v>10.78</v>
      </c>
      <c r="E223" s="49" t="n">
        <v>12.6</v>
      </c>
      <c r="F223" s="50" t="n">
        <v>0.3</v>
      </c>
      <c r="G223" s="58" t="str">
        <v>未列中文</v>
      </c>
      <c r="H223" s="49" t="n">
        <v>4.11</v>
      </c>
      <c r="I223" s="51" t="n">
        <v>102</v>
      </c>
      <c r="J223" s="52" t="n">
        <v>46288.95763888889</v>
      </c>
      <c r="K223" s="58" t="str">
        <v>未显示收录</v>
      </c>
      <c r="L223" s="60" t="str">
        <v>查看港服</v>
      </c>
      <c r="M223" s="64" t="str">
        <v>表列普通折扣价；PS Plus或有额外折扣</v>
      </c>
    </row>
    <row r="224" ht="36" customHeight="1">
      <c r="A224" s="55" t="n">
        <v>217</v>
      </c>
      <c r="B224" s="28" t="str">
        <v>Chornobyl Liquidators</v>
      </c>
      <c r="C224" s="57" t="str">
        <v>PS5</v>
      </c>
      <c r="D224" s="30" t="n">
        <f>ROUND(E224*$B$4,2)</f>
        <v>75.99</v>
      </c>
      <c r="E224" s="31" t="n">
        <v>88.8</v>
      </c>
      <c r="F224" s="32" t="n">
        <v>0.4</v>
      </c>
      <c r="G224" s="57" t="str">
        <v>简繁中文</v>
      </c>
      <c r="H224" s="31" t="n">
        <v>3.44</v>
      </c>
      <c r="I224" s="33" t="n">
        <v>101</v>
      </c>
      <c r="J224" s="34" t="n">
        <v>46288.95763888889</v>
      </c>
      <c r="K224" s="57" t="str">
        <v>未显示收录</v>
      </c>
      <c r="L224" s="59" t="str">
        <v>查看港服</v>
      </c>
      <c r="M224" s="63" t="str"/>
    </row>
    <row r="225" ht="36" customHeight="1">
      <c r="A225" s="56" t="n">
        <v>218</v>
      </c>
      <c r="B225" s="46" t="str">
        <v>Creepy Tale 2</v>
      </c>
      <c r="C225" s="58" t="str">
        <v>PS4</v>
      </c>
      <c r="D225" s="48" t="n">
        <f>ROUND(E225*$B$4,2)</f>
        <v>36.97</v>
      </c>
      <c r="E225" s="49" t="n">
        <v>43.2</v>
      </c>
      <c r="F225" s="50" t="n">
        <v>0.6</v>
      </c>
      <c r="G225" s="58" t="str">
        <v>简繁中文</v>
      </c>
      <c r="H225" s="49" t="n">
        <v>4.04</v>
      </c>
      <c r="I225" s="51" t="n">
        <v>100</v>
      </c>
      <c r="J225" s="52" t="n">
        <v>46288.95763888889</v>
      </c>
      <c r="K225" s="58" t="str">
        <v>未显示收录</v>
      </c>
      <c r="L225" s="60" t="str">
        <v>查看港服</v>
      </c>
      <c r="M225" s="64" t="str">
        <v>表列普通折扣价；PS Plus或有额外折扣</v>
      </c>
    </row>
    <row r="226" ht="36" customHeight="1">
      <c r="A226" s="55" t="n">
        <v>219</v>
      </c>
      <c r="B226" s="28" t="str">
        <v>Grass Cutting Simulator: Lawn Mowing Care</v>
      </c>
      <c r="C226" s="57" t="str">
        <v>PS4</v>
      </c>
      <c r="D226" s="30" t="n">
        <f>ROUND(E226*$B$4,2)</f>
        <v>20.02</v>
      </c>
      <c r="E226" s="31" t="n">
        <v>23.4</v>
      </c>
      <c r="F226" s="32" t="n">
        <v>0.7</v>
      </c>
      <c r="G226" s="57" t="str">
        <v>未列中文</v>
      </c>
      <c r="H226" s="31" t="n">
        <v>2.47</v>
      </c>
      <c r="I226" s="33" t="n">
        <v>98</v>
      </c>
      <c r="J226" s="34" t="n">
        <v>46288.95763888889</v>
      </c>
      <c r="K226" s="57" t="str">
        <v>未显示收录</v>
      </c>
      <c r="L226" s="59" t="str">
        <v>查看港服</v>
      </c>
      <c r="M226" s="63" t="str">
        <v>表列普通折扣价；PS Plus或有额外折扣</v>
      </c>
    </row>
    <row r="227" ht="36" customHeight="1">
      <c r="A227" s="56" t="n">
        <v>220</v>
      </c>
      <c r="B227" s="46" t="str">
        <v>Police Car Simulator : EVO</v>
      </c>
      <c r="C227" s="58" t="str">
        <v>PS5</v>
      </c>
      <c r="D227" s="48" t="n">
        <f>ROUND(E227*$B$4,2)</f>
        <v>30.5</v>
      </c>
      <c r="E227" s="49" t="n">
        <v>35.64</v>
      </c>
      <c r="F227" s="50" t="n">
        <v>0.67</v>
      </c>
      <c r="G227" s="58" t="str">
        <v>简体中文</v>
      </c>
      <c r="H227" s="49" t="n">
        <v>2.46</v>
      </c>
      <c r="I227" s="51" t="n">
        <v>98</v>
      </c>
      <c r="J227" s="52" t="n">
        <v>46288.95763888889</v>
      </c>
      <c r="K227" s="58" t="str">
        <v>未显示收录</v>
      </c>
      <c r="L227" s="60" t="str">
        <v>查看港服</v>
      </c>
      <c r="M227" s="64" t="str"/>
    </row>
    <row r="228" ht="36" customHeight="1">
      <c r="A228" s="55" t="n">
        <v>221</v>
      </c>
      <c r="B228" s="28" t="str">
        <v>我們的王國 蝕時果實與遠古魔物</v>
      </c>
      <c r="C228" s="57" t="str">
        <v>PS5</v>
      </c>
      <c r="D228" s="30" t="n">
        <f>ROUND(E228*$B$4,2)</f>
        <v>64.18</v>
      </c>
      <c r="E228" s="31" t="n">
        <v>75</v>
      </c>
      <c r="F228" s="32" t="n">
        <v>0.25</v>
      </c>
      <c r="G228" s="57" t="str">
        <v>简繁中文</v>
      </c>
      <c r="H228" s="31" t="n">
        <v>3.82</v>
      </c>
      <c r="I228" s="33" t="n">
        <v>98</v>
      </c>
      <c r="J228" s="34" t="n">
        <v>46288.95763888889</v>
      </c>
      <c r="K228" s="57" t="str">
        <v>未显示收录</v>
      </c>
      <c r="L228" s="59" t="str">
        <v>查看港服</v>
      </c>
      <c r="M228" s="63" t="str"/>
    </row>
    <row r="229" ht="36" customHeight="1">
      <c r="A229" s="56" t="n">
        <v>222</v>
      </c>
      <c r="B229" s="46" t="str">
        <v>Sudoku Master</v>
      </c>
      <c r="C229" s="58" t="str">
        <v>PS4</v>
      </c>
      <c r="D229" s="48" t="n">
        <f>ROUND(E229*$B$4,2)</f>
        <v>22.76</v>
      </c>
      <c r="E229" s="49" t="n">
        <v>26.6</v>
      </c>
      <c r="F229" s="50" t="n">
        <v>0.3</v>
      </c>
      <c r="G229" s="58" t="str">
        <v>未列中文</v>
      </c>
      <c r="H229" s="49" t="n">
        <v>1.61</v>
      </c>
      <c r="I229" s="51" t="n">
        <v>97</v>
      </c>
      <c r="J229" s="52" t="n">
        <v>46288.95763888889</v>
      </c>
      <c r="K229" s="58" t="str">
        <v>未显示收录</v>
      </c>
      <c r="L229" s="60" t="str">
        <v>查看港服</v>
      </c>
      <c r="M229" s="64" t="str">
        <v>表列普通折扣价；PS Plus或有额外折扣</v>
      </c>
    </row>
    <row r="230" ht="36" customHeight="1">
      <c r="A230" s="55" t="n">
        <v>223</v>
      </c>
      <c r="B230" s="28" t="str">
        <v>Farewell North</v>
      </c>
      <c r="C230" s="57" t="str">
        <v>PS5</v>
      </c>
      <c r="D230" s="30" t="n">
        <f>ROUND(E230*$B$4,2)</f>
        <v>84.71</v>
      </c>
      <c r="E230" s="31" t="n">
        <v>99</v>
      </c>
      <c r="F230" s="32" t="n">
        <v>0.5</v>
      </c>
      <c r="G230" s="57" t="str">
        <v>简体中文</v>
      </c>
      <c r="H230" s="31" t="n">
        <v>4.65</v>
      </c>
      <c r="I230" s="33" t="n">
        <v>97</v>
      </c>
      <c r="J230" s="34" t="n">
        <v>46288.95763888889</v>
      </c>
      <c r="K230" s="57" t="str">
        <v>未显示收录</v>
      </c>
      <c r="L230" s="59" t="str">
        <v>查看港服</v>
      </c>
      <c r="M230" s="63" t="str">
        <v>表列普通折扣价；PS Plus或有额外折扣</v>
      </c>
    </row>
    <row r="231" ht="36" customHeight="1">
      <c r="A231" s="56" t="n">
        <v>224</v>
      </c>
      <c r="B231" s="46" t="str">
        <v>Paper Cut Mansion</v>
      </c>
      <c r="C231" s="58" t="str">
        <v>PS4 / PS5</v>
      </c>
      <c r="D231" s="48" t="n">
        <f>ROUND(E231*$B$4,2)</f>
        <v>19</v>
      </c>
      <c r="E231" s="49" t="n">
        <v>22.2</v>
      </c>
      <c r="F231" s="50" t="n">
        <v>0.85</v>
      </c>
      <c r="G231" s="58" t="str">
        <v>简体中文</v>
      </c>
      <c r="H231" s="49" t="n">
        <v>3.66</v>
      </c>
      <c r="I231" s="51" t="n">
        <v>94</v>
      </c>
      <c r="J231" s="52" t="n">
        <v>46288.95763888889</v>
      </c>
      <c r="K231" s="58" t="str">
        <v>未显示收录</v>
      </c>
      <c r="L231" s="60" t="str">
        <v>查看港服</v>
      </c>
      <c r="M231" s="64" t="str"/>
    </row>
    <row r="232" ht="36" customHeight="1">
      <c r="A232" s="55" t="n">
        <v>225</v>
      </c>
      <c r="B232" s="28" t="str">
        <v>Candy Match Kiddies</v>
      </c>
      <c r="C232" s="57" t="str">
        <v>PS4</v>
      </c>
      <c r="D232" s="30" t="n">
        <f>ROUND(E232*$B$4,2)</f>
        <v>22.76</v>
      </c>
      <c r="E232" s="31" t="n">
        <v>26.6</v>
      </c>
      <c r="F232" s="32" t="n">
        <v>0.3</v>
      </c>
      <c r="G232" s="57" t="str">
        <v>未列中文</v>
      </c>
      <c r="H232" s="31" t="n">
        <v>2.71</v>
      </c>
      <c r="I232" s="33" t="n">
        <v>92</v>
      </c>
      <c r="J232" s="34" t="n">
        <v>46288.95763888889</v>
      </c>
      <c r="K232" s="57" t="str">
        <v>未显示收录</v>
      </c>
      <c r="L232" s="59" t="str">
        <v>查看港服</v>
      </c>
      <c r="M232" s="63" t="str">
        <v>表列普通折扣价；PS Plus或有额外折扣</v>
      </c>
    </row>
    <row r="233" ht="36" customHeight="1">
      <c r="A233" s="56" t="n">
        <v>226</v>
      </c>
      <c r="B233" s="46" t="str">
        <v>Universal Flight Simulator Extended</v>
      </c>
      <c r="C233" s="58" t="str">
        <v>PS5</v>
      </c>
      <c r="D233" s="48" t="n">
        <f>ROUND(E233*$B$4,2)</f>
        <v>64.69</v>
      </c>
      <c r="E233" s="49" t="n">
        <v>75.6</v>
      </c>
      <c r="F233" s="50" t="n">
        <v>0.3</v>
      </c>
      <c r="G233" s="58" t="str">
        <v>未列中文</v>
      </c>
      <c r="H233" s="49" t="n">
        <v>1.2</v>
      </c>
      <c r="I233" s="51" t="n">
        <v>92</v>
      </c>
      <c r="J233" s="52" t="n">
        <v>46288.95763888889</v>
      </c>
      <c r="K233" s="58" t="str">
        <v>未显示收录</v>
      </c>
      <c r="L233" s="60" t="str">
        <v>查看港服</v>
      </c>
      <c r="M233" s="64" t="str">
        <v>表列普通折扣价；PS Plus或有额外折扣</v>
      </c>
    </row>
    <row r="234" ht="36" customHeight="1">
      <c r="A234" s="55" t="n">
        <v>227</v>
      </c>
      <c r="B234" s="28" t="str">
        <v>Masters Bowling HD</v>
      </c>
      <c r="C234" s="57" t="str">
        <v>PS5</v>
      </c>
      <c r="D234" s="30" t="n">
        <f>ROUND(E234*$B$4,2)</f>
        <v>46.72</v>
      </c>
      <c r="E234" s="31" t="n">
        <v>54.6</v>
      </c>
      <c r="F234" s="32" t="n">
        <v>0.3</v>
      </c>
      <c r="G234" s="57" t="str">
        <v>未列中文</v>
      </c>
      <c r="H234" s="31" t="n">
        <v>1.81</v>
      </c>
      <c r="I234" s="33" t="n">
        <v>90</v>
      </c>
      <c r="J234" s="34" t="n">
        <v>46288.95763888889</v>
      </c>
      <c r="K234" s="57" t="str">
        <v>未显示收录</v>
      </c>
      <c r="L234" s="59" t="str">
        <v>查看港服</v>
      </c>
      <c r="M234" s="63" t="str">
        <v>表列普通折扣价；PS Plus或有额外折扣</v>
      </c>
    </row>
    <row r="235" ht="36" customHeight="1">
      <c r="A235" s="56" t="n">
        <v>228</v>
      </c>
      <c r="B235" s="46" t="str">
        <v>Ultimate ADOM - Caverns of Chaos</v>
      </c>
      <c r="C235" s="58" t="str">
        <v>PS4</v>
      </c>
      <c r="D235" s="48" t="n">
        <f>ROUND(E235*$B$4,2)</f>
        <v>12.66</v>
      </c>
      <c r="E235" s="49" t="n">
        <v>14.8</v>
      </c>
      <c r="F235" s="50" t="n">
        <v>0.9</v>
      </c>
      <c r="G235" s="58" t="str">
        <v>未列中文</v>
      </c>
      <c r="H235" s="49" t="n">
        <v>2.24</v>
      </c>
      <c r="I235" s="51" t="n">
        <v>90</v>
      </c>
      <c r="J235" s="52" t="n">
        <v>46288.95763888889</v>
      </c>
      <c r="K235" s="58" t="str">
        <v>未显示收录</v>
      </c>
      <c r="L235" s="60" t="str">
        <v>查看港服</v>
      </c>
      <c r="M235" s="64" t="str"/>
    </row>
    <row r="236" ht="36" customHeight="1">
      <c r="A236" s="55" t="n">
        <v>229</v>
      </c>
      <c r="B236" s="28" t="str">
        <v>The Light of Celestia</v>
      </c>
      <c r="C236" s="57" t="str">
        <v>PS5</v>
      </c>
      <c r="D236" s="30" t="n">
        <f>ROUND(E236*$B$4,2)</f>
        <v>13.35</v>
      </c>
      <c r="E236" s="31" t="n">
        <v>15.6</v>
      </c>
      <c r="F236" s="32" t="n">
        <v>0.8</v>
      </c>
      <c r="G236" s="57" t="str">
        <v>未列中文</v>
      </c>
      <c r="H236" s="31" t="n">
        <v>3.4</v>
      </c>
      <c r="I236" s="33" t="n">
        <v>88</v>
      </c>
      <c r="J236" s="34" t="n">
        <v>46288.95763888889</v>
      </c>
      <c r="K236" s="57" t="str">
        <v>未显示收录</v>
      </c>
      <c r="L236" s="59" t="str">
        <v>查看港服</v>
      </c>
      <c r="M236" s="63" t="str">
        <v>表列普通折扣价；PS Plus或有额外折扣</v>
      </c>
    </row>
    <row r="237" ht="36" customHeight="1">
      <c r="A237" s="56" t="n">
        <v>230</v>
      </c>
      <c r="B237" s="46" t="str">
        <v>Free Throw Basketball</v>
      </c>
      <c r="C237" s="58" t="str">
        <v>PS4</v>
      </c>
      <c r="D237" s="48" t="n">
        <f>ROUND(E237*$B$4,2)</f>
        <v>22.76</v>
      </c>
      <c r="E237" s="49" t="n">
        <v>26.6</v>
      </c>
      <c r="F237" s="50" t="n">
        <v>0.3</v>
      </c>
      <c r="G237" s="58" t="str">
        <v>未列中文</v>
      </c>
      <c r="H237" s="49" t="n">
        <v>1.83</v>
      </c>
      <c r="I237" s="51" t="n">
        <v>87</v>
      </c>
      <c r="J237" s="52" t="n">
        <v>46288.95763888889</v>
      </c>
      <c r="K237" s="58" t="str">
        <v>未显示收录</v>
      </c>
      <c r="L237" s="60" t="str">
        <v>查看港服</v>
      </c>
      <c r="M237" s="64" t="str">
        <v>表列普通折扣价；PS Plus或有额外折扣</v>
      </c>
    </row>
    <row r="238" ht="36" customHeight="1">
      <c r="A238" s="55" t="n">
        <v>231</v>
      </c>
      <c r="B238" s="28" t="str">
        <v>Extreme Wrestling</v>
      </c>
      <c r="C238" s="57" t="str">
        <v>PS4</v>
      </c>
      <c r="D238" s="30" t="n">
        <f>ROUND(E238*$B$4,2)</f>
        <v>22.76</v>
      </c>
      <c r="E238" s="31" t="n">
        <v>26.6</v>
      </c>
      <c r="F238" s="32" t="n">
        <v>0.3</v>
      </c>
      <c r="G238" s="57" t="str">
        <v>未列中文</v>
      </c>
      <c r="H238" s="31" t="n">
        <v>2.26</v>
      </c>
      <c r="I238" s="33" t="n">
        <v>87</v>
      </c>
      <c r="J238" s="34" t="n">
        <v>46288.95763888889</v>
      </c>
      <c r="K238" s="57" t="str">
        <v>未显示收录</v>
      </c>
      <c r="L238" s="59" t="str">
        <v>查看港服</v>
      </c>
      <c r="M238" s="63" t="str">
        <v>表列普通折扣价；PS Plus或有额外折扣</v>
      </c>
    </row>
    <row r="239" ht="36" customHeight="1">
      <c r="A239" s="56" t="n">
        <v>232</v>
      </c>
      <c r="B239" s="46" t="str">
        <v>Drill Core</v>
      </c>
      <c r="C239" s="58" t="str">
        <v>PS5</v>
      </c>
      <c r="D239" s="48" t="n">
        <f>ROUND(E239*$B$4,2)</f>
        <v>82.32</v>
      </c>
      <c r="E239" s="49" t="n">
        <v>96.2</v>
      </c>
      <c r="F239" s="50" t="n">
        <v>0.35</v>
      </c>
      <c r="G239" s="58" t="str">
        <v>简体中文</v>
      </c>
      <c r="H239" s="49" t="n">
        <v>3.41</v>
      </c>
      <c r="I239" s="51" t="n">
        <v>86</v>
      </c>
      <c r="J239" s="52" t="n">
        <v>46288.95763888889</v>
      </c>
      <c r="K239" s="58" t="str">
        <v>未显示收录</v>
      </c>
      <c r="L239" s="60" t="str">
        <v>查看港服</v>
      </c>
      <c r="M239" s="64" t="str">
        <v>另有限时试玩</v>
      </c>
    </row>
    <row r="240" ht="36" customHeight="1">
      <c r="A240" s="55" t="n">
        <v>233</v>
      </c>
      <c r="B240" s="28" t="str">
        <v>Car Driving School Simulator</v>
      </c>
      <c r="C240" s="57" t="str">
        <v>PS5</v>
      </c>
      <c r="D240" s="30" t="n">
        <f>ROUND(E240*$B$4,2)</f>
        <v>46.72</v>
      </c>
      <c r="E240" s="31" t="n">
        <v>54.6</v>
      </c>
      <c r="F240" s="32" t="n">
        <v>0.3</v>
      </c>
      <c r="G240" s="57" t="str">
        <v>未列中文</v>
      </c>
      <c r="H240" s="31" t="n">
        <v>2.09</v>
      </c>
      <c r="I240" s="33" t="n">
        <v>82</v>
      </c>
      <c r="J240" s="34" t="n">
        <v>46288.95763888889</v>
      </c>
      <c r="K240" s="57" t="str">
        <v>未显示收录</v>
      </c>
      <c r="L240" s="59" t="str">
        <v>查看港服</v>
      </c>
      <c r="M240" s="63" t="str"/>
    </row>
    <row r="241" ht="36" customHeight="1">
      <c r="A241" s="56" t="n">
        <v>234</v>
      </c>
      <c r="B241" s="46" t="str">
        <v>The Sinking Forest - 沈んだ森</v>
      </c>
      <c r="C241" s="58" t="str">
        <v>PS5</v>
      </c>
      <c r="D241" s="48" t="n">
        <f>ROUND(E241*$B$4,2)</f>
        <v>36.97</v>
      </c>
      <c r="E241" s="49" t="n">
        <v>43.2</v>
      </c>
      <c r="F241" s="50" t="n">
        <v>0.6</v>
      </c>
      <c r="G241" s="58" t="str">
        <v>简体中文</v>
      </c>
      <c r="H241" s="49" t="n">
        <v>3.41</v>
      </c>
      <c r="I241" s="51" t="n">
        <v>81</v>
      </c>
      <c r="J241" s="52" t="n">
        <v>46288.95763888889</v>
      </c>
      <c r="K241" s="58" t="str">
        <v>未显示收录</v>
      </c>
      <c r="L241" s="60" t="str">
        <v>查看港服</v>
      </c>
      <c r="M241" s="64" t="str">
        <v>表列普通折扣价；PS Plus或有额外折扣</v>
      </c>
    </row>
    <row r="242" ht="36" customHeight="1">
      <c r="A242" s="55" t="n">
        <v>235</v>
      </c>
      <c r="B242" s="28" t="str">
        <v>America Wild Hunting</v>
      </c>
      <c r="C242" s="57" t="str">
        <v>PS4</v>
      </c>
      <c r="D242" s="30" t="n">
        <f>ROUND(E242*$B$4,2)</f>
        <v>22.76</v>
      </c>
      <c r="E242" s="31" t="n">
        <v>26.6</v>
      </c>
      <c r="F242" s="32" t="n">
        <v>0.3</v>
      </c>
      <c r="G242" s="57" t="str">
        <v>未列中文</v>
      </c>
      <c r="H242" s="31" t="n">
        <v>1.99</v>
      </c>
      <c r="I242" s="33" t="n">
        <v>80</v>
      </c>
      <c r="J242" s="34" t="n">
        <v>46288.95763888889</v>
      </c>
      <c r="K242" s="57" t="str">
        <v>未显示收录</v>
      </c>
      <c r="L242" s="59" t="str">
        <v>查看港服</v>
      </c>
      <c r="M242" s="63" t="str">
        <v>表列普通折扣价；PS Plus或有额外折扣</v>
      </c>
    </row>
    <row r="243" ht="36" customHeight="1">
      <c r="A243" s="56" t="n">
        <v>236</v>
      </c>
      <c r="B243" s="46" t="str">
        <v>Gladiator Simulator: Arena of Freedom</v>
      </c>
      <c r="C243" s="58" t="str">
        <v>PS4</v>
      </c>
      <c r="D243" s="48" t="n">
        <f>ROUND(E243*$B$4,2)</f>
        <v>46.21</v>
      </c>
      <c r="E243" s="49" t="n">
        <v>54</v>
      </c>
      <c r="F243" s="50" t="n">
        <v>0.5</v>
      </c>
      <c r="G243" s="58" t="str">
        <v>未列中文</v>
      </c>
      <c r="H243" s="49" t="n">
        <v>1.64</v>
      </c>
      <c r="I243" s="51" t="n">
        <v>80</v>
      </c>
      <c r="J243" s="52" t="n">
        <v>46288.95763888889</v>
      </c>
      <c r="K243" s="58" t="str">
        <v>未显示收录</v>
      </c>
      <c r="L243" s="60" t="str">
        <v>查看港服</v>
      </c>
      <c r="M243" s="64" t="str">
        <v>表列普通折扣价；PS Plus或有额外折扣</v>
      </c>
    </row>
    <row r="244" ht="36" customHeight="1">
      <c r="A244" s="55" t="n">
        <v>237</v>
      </c>
      <c r="B244" s="28" t="str">
        <v>Chess Knights: Viking Lands</v>
      </c>
      <c r="C244" s="57" t="str">
        <v>PS4</v>
      </c>
      <c r="D244" s="30" t="n">
        <f>ROUND(E244*$B$4,2)</f>
        <v>27.64</v>
      </c>
      <c r="E244" s="31" t="n">
        <v>32.3</v>
      </c>
      <c r="F244" s="32" t="n">
        <v>0.15</v>
      </c>
      <c r="G244" s="57" t="str">
        <v>未列中文</v>
      </c>
      <c r="H244" s="31" t="n">
        <v>2.97</v>
      </c>
      <c r="I244" s="33" t="n">
        <v>75</v>
      </c>
      <c r="J244" s="34" t="n">
        <v>46288.95763888889</v>
      </c>
      <c r="K244" s="57" t="str">
        <v>未显示收录</v>
      </c>
      <c r="L244" s="59" t="str">
        <v>查看港服</v>
      </c>
      <c r="M244" s="63" t="str"/>
    </row>
    <row r="245" ht="36" customHeight="1">
      <c r="A245" s="56" t="n">
        <v>238</v>
      </c>
      <c r="B245" s="46" t="str">
        <v>Wintermoor Tactics Club</v>
      </c>
      <c r="C245" s="58" t="str">
        <v>PS4</v>
      </c>
      <c r="D245" s="48" t="n">
        <f>ROUND(E245*$B$4,2)</f>
        <v>31.66</v>
      </c>
      <c r="E245" s="49" t="n">
        <v>37</v>
      </c>
      <c r="F245" s="50" t="n">
        <v>0.75</v>
      </c>
      <c r="G245" s="58" t="str">
        <v>简体中文</v>
      </c>
      <c r="H245" s="49" t="n">
        <v>4.08</v>
      </c>
      <c r="I245" s="51" t="n">
        <v>75</v>
      </c>
      <c r="J245" s="52" t="n">
        <v>46288.95763888889</v>
      </c>
      <c r="K245" s="58" t="str">
        <v>未显示收录</v>
      </c>
      <c r="L245" s="60" t="str">
        <v>查看港服</v>
      </c>
      <c r="M245" s="64" t="str">
        <v>表列普通折扣价；PS Plus或有额外折扣</v>
      </c>
    </row>
    <row r="246" ht="36" customHeight="1">
      <c r="A246" s="55" t="n">
        <v>239</v>
      </c>
      <c r="B246" s="28" t="str">
        <v>Egypt City Builder</v>
      </c>
      <c r="C246" s="57" t="str">
        <v>PS4</v>
      </c>
      <c r="D246" s="30" t="n">
        <f>ROUND(E246*$B$4,2)</f>
        <v>50.83</v>
      </c>
      <c r="E246" s="31" t="n">
        <v>59.4</v>
      </c>
      <c r="F246" s="32" t="n">
        <v>0.45</v>
      </c>
      <c r="G246" s="57" t="str">
        <v>未列中文</v>
      </c>
      <c r="H246" s="31" t="n">
        <v>1.45</v>
      </c>
      <c r="I246" s="33" t="n">
        <v>74</v>
      </c>
      <c r="J246" s="34" t="n">
        <v>46288.95763888889</v>
      </c>
      <c r="K246" s="57" t="str">
        <v>未显示收录</v>
      </c>
      <c r="L246" s="59" t="str">
        <v>查看港服</v>
      </c>
      <c r="M246" s="63" t="str">
        <v>表列普通折扣价；PS Plus或有额外折扣</v>
      </c>
    </row>
    <row r="247" ht="36" customHeight="1">
      <c r="A247" s="56" t="n">
        <v>240</v>
      </c>
      <c r="B247" s="46" t="str">
        <v>3D Air Hockey</v>
      </c>
      <c r="C247" s="58" t="str">
        <v>PS4</v>
      </c>
      <c r="D247" s="48" t="n">
        <f>ROUND(E247*$B$4,2)</f>
        <v>22.76</v>
      </c>
      <c r="E247" s="49" t="n">
        <v>26.6</v>
      </c>
      <c r="F247" s="50" t="n">
        <v>0.3</v>
      </c>
      <c r="G247" s="58" t="str">
        <v>未列中文</v>
      </c>
      <c r="H247" s="49" t="n">
        <v>2.1</v>
      </c>
      <c r="I247" s="51" t="n">
        <v>73</v>
      </c>
      <c r="J247" s="52" t="n">
        <v>46288.95763888889</v>
      </c>
      <c r="K247" s="58" t="str">
        <v>未显示收录</v>
      </c>
      <c r="L247" s="60" t="str">
        <v>查看港服</v>
      </c>
      <c r="M247" s="64" t="str">
        <v>表列普通折扣价；PS Plus或有额外折扣</v>
      </c>
    </row>
    <row r="248" ht="36" customHeight="1">
      <c r="A248" s="55" t="n">
        <v>241</v>
      </c>
      <c r="B248" s="28" t="str">
        <v>Clay Skeet Shooting PS4 &amp; PS5</v>
      </c>
      <c r="C248" s="57" t="str">
        <v>PS4</v>
      </c>
      <c r="D248" s="30" t="n">
        <f>ROUND(E248*$B$4,2)</f>
        <v>22.76</v>
      </c>
      <c r="E248" s="31" t="n">
        <v>26.6</v>
      </c>
      <c r="F248" s="32" t="n">
        <v>0.3</v>
      </c>
      <c r="G248" s="57" t="str">
        <v>未列中文</v>
      </c>
      <c r="H248" s="31" t="n">
        <v>2.21</v>
      </c>
      <c r="I248" s="33" t="n">
        <v>73</v>
      </c>
      <c r="J248" s="34" t="n">
        <v>46288.95763888889</v>
      </c>
      <c r="K248" s="57" t="str">
        <v>未显示收录</v>
      </c>
      <c r="L248" s="59" t="str">
        <v>查看港服</v>
      </c>
      <c r="M248" s="63" t="str">
        <v>表列普通折扣价；PS Plus或有额外折扣</v>
      </c>
    </row>
    <row r="249" ht="36" customHeight="1">
      <c r="A249" s="56" t="n">
        <v>242</v>
      </c>
      <c r="B249" s="46" t="str">
        <v>Eternal Exodus</v>
      </c>
      <c r="C249" s="58" t="str">
        <v>PS4 / PS5</v>
      </c>
      <c r="D249" s="48" t="n">
        <f>ROUND(E249*$B$4,2)</f>
        <v>94.98</v>
      </c>
      <c r="E249" s="49" t="n">
        <v>111</v>
      </c>
      <c r="F249" s="50" t="n">
        <v>0.25</v>
      </c>
      <c r="G249" s="58" t="str">
        <v>简体中文</v>
      </c>
      <c r="H249" s="49" t="n">
        <v>3.57</v>
      </c>
      <c r="I249" s="51" t="n">
        <v>72</v>
      </c>
      <c r="J249" s="52" t="n">
        <v>46288.95763888889</v>
      </c>
      <c r="K249" s="58" t="str">
        <v>未显示收录</v>
      </c>
      <c r="L249" s="60" t="str">
        <v>查看港服</v>
      </c>
      <c r="M249" s="64" t="str">
        <v>另有限时试玩</v>
      </c>
    </row>
    <row r="250" ht="36" customHeight="1">
      <c r="A250" s="55" t="n">
        <v>243</v>
      </c>
      <c r="B250" s="28" t="str">
        <v>International Basketball</v>
      </c>
      <c r="C250" s="57" t="str">
        <v>PS4</v>
      </c>
      <c r="D250" s="30" t="n">
        <f>ROUND(E250*$B$4,2)</f>
        <v>22.76</v>
      </c>
      <c r="E250" s="31" t="n">
        <v>26.6</v>
      </c>
      <c r="F250" s="32" t="n">
        <v>0.3</v>
      </c>
      <c r="G250" s="57" t="str">
        <v>未列中文</v>
      </c>
      <c r="H250" s="31" t="n">
        <v>1.76</v>
      </c>
      <c r="I250" s="33" t="n">
        <v>72</v>
      </c>
      <c r="J250" s="34" t="n">
        <v>46288.95763888889</v>
      </c>
      <c r="K250" s="57" t="str">
        <v>未显示收录</v>
      </c>
      <c r="L250" s="59" t="str">
        <v>查看港服</v>
      </c>
      <c r="M250" s="63" t="str">
        <v>表列普通折扣价；PS Plus或有额外折扣</v>
      </c>
    </row>
    <row r="251" ht="36" customHeight="1">
      <c r="A251" s="56" t="n">
        <v>244</v>
      </c>
      <c r="B251" s="46" t="str">
        <v>RAGER</v>
      </c>
      <c r="C251" s="58" t="str">
        <v>PS5</v>
      </c>
      <c r="D251" s="48" t="n">
        <f>ROUND(E251*$B$4,2)</f>
        <v>94.98</v>
      </c>
      <c r="E251" s="49" t="n">
        <v>111</v>
      </c>
      <c r="F251" s="50" t="n">
        <v>0.25</v>
      </c>
      <c r="G251" s="58" t="str">
        <v>未列中文</v>
      </c>
      <c r="H251" s="49" t="n">
        <v>4.42</v>
      </c>
      <c r="I251" s="51" t="n">
        <v>71</v>
      </c>
      <c r="J251" s="52" t="n">
        <v>46288.95763888889</v>
      </c>
      <c r="K251" s="58" t="str">
        <v>未显示收录</v>
      </c>
      <c r="L251" s="60" t="str">
        <v>查看港服</v>
      </c>
      <c r="M251" s="64" t="str">
        <v>含VR相关要求，购买前查看商品页</v>
      </c>
    </row>
    <row r="252" ht="36" customHeight="1">
      <c r="A252" s="55" t="n">
        <v>245</v>
      </c>
      <c r="B252" s="28" t="str">
        <v>Space Invasion PS4 &amp; PS5</v>
      </c>
      <c r="C252" s="57" t="str">
        <v>PS4</v>
      </c>
      <c r="D252" s="30" t="n">
        <f>ROUND(E252*$B$4,2)</f>
        <v>22.76</v>
      </c>
      <c r="E252" s="31" t="n">
        <v>26.6</v>
      </c>
      <c r="F252" s="32" t="n">
        <v>0.3</v>
      </c>
      <c r="G252" s="57" t="str">
        <v>未列中文</v>
      </c>
      <c r="H252" s="31" t="n">
        <v>2.11</v>
      </c>
      <c r="I252" s="33" t="n">
        <v>70</v>
      </c>
      <c r="J252" s="34" t="n">
        <v>46288.95763888889</v>
      </c>
      <c r="K252" s="57" t="str">
        <v>未显示收录</v>
      </c>
      <c r="L252" s="59" t="str">
        <v>查看港服</v>
      </c>
      <c r="M252" s="63" t="str">
        <v>表列普通折扣价；PS Plus或有额外折扣</v>
      </c>
    </row>
    <row r="253" ht="36" customHeight="1">
      <c r="A253" s="56" t="n">
        <v>246</v>
      </c>
      <c r="B253" s="46" t="str">
        <v>The Legacy of Griselda</v>
      </c>
      <c r="C253" s="58" t="str">
        <v>PS5</v>
      </c>
      <c r="D253" s="48" t="n">
        <f>ROUND(E253*$B$4,2)</f>
        <v>69.31</v>
      </c>
      <c r="E253" s="49" t="n">
        <v>81</v>
      </c>
      <c r="F253" s="50" t="n">
        <v>0.25</v>
      </c>
      <c r="G253" s="58" t="str">
        <v>未列中文</v>
      </c>
      <c r="H253" s="49" t="n">
        <v>1.3</v>
      </c>
      <c r="I253" s="51" t="n">
        <v>69</v>
      </c>
      <c r="J253" s="52" t="n">
        <v>46288.95763888889</v>
      </c>
      <c r="K253" s="58" t="str">
        <v>未显示收录</v>
      </c>
      <c r="L253" s="60" t="str">
        <v>查看港服</v>
      </c>
      <c r="M253" s="64" t="str">
        <v>表列普通折扣价；PS Plus或有额外折扣</v>
      </c>
    </row>
    <row r="254" ht="36" customHeight="1">
      <c r="A254" s="55" t="n">
        <v>247</v>
      </c>
      <c r="B254" s="28" t="str">
        <v>Sherlock Purr 2 Extended Edition</v>
      </c>
      <c r="C254" s="57" t="str">
        <v>PS4 / PS5</v>
      </c>
      <c r="D254" s="30" t="n">
        <f>ROUND(E254*$B$4,2)</f>
        <v>9.24</v>
      </c>
      <c r="E254" s="31" t="n">
        <v>10.8</v>
      </c>
      <c r="F254" s="32" t="n">
        <v>0.9</v>
      </c>
      <c r="G254" s="57" t="str">
        <v>简繁中文</v>
      </c>
      <c r="H254" s="31" t="n">
        <v>3.32</v>
      </c>
      <c r="I254" s="33" t="n">
        <v>68</v>
      </c>
      <c r="J254" s="34" t="n">
        <v>46288.95763888889</v>
      </c>
      <c r="K254" s="57" t="str">
        <v>未显示收录</v>
      </c>
      <c r="L254" s="59" t="str">
        <v>查看港服</v>
      </c>
      <c r="M254" s="63" t="str"/>
    </row>
    <row r="255" ht="36" customHeight="1">
      <c r="A255" s="56" t="n">
        <v>248</v>
      </c>
      <c r="B255" s="46" t="str">
        <v>Swordship</v>
      </c>
      <c r="C255" s="58" t="str">
        <v>PS4 / PS5</v>
      </c>
      <c r="D255" s="48" t="n">
        <f>ROUND(E255*$B$4,2)</f>
        <v>19</v>
      </c>
      <c r="E255" s="49" t="n">
        <v>22.2</v>
      </c>
      <c r="F255" s="50" t="n">
        <v>0.85</v>
      </c>
      <c r="G255" s="58" t="str">
        <v>简繁中文</v>
      </c>
      <c r="H255" s="49" t="n">
        <v>4.16</v>
      </c>
      <c r="I255" s="51" t="n">
        <v>68</v>
      </c>
      <c r="J255" s="52" t="n">
        <v>46288.95763888889</v>
      </c>
      <c r="K255" s="58" t="str">
        <v>未显示收录</v>
      </c>
      <c r="L255" s="60" t="str">
        <v>查看港服</v>
      </c>
      <c r="M255" s="64" t="str"/>
    </row>
    <row r="256" ht="36" customHeight="1">
      <c r="A256" s="55" t="n">
        <v>249</v>
      </c>
      <c r="B256" s="28" t="str">
        <v>Devil Jam</v>
      </c>
      <c r="C256" s="57" t="str">
        <v>PS5</v>
      </c>
      <c r="D256" s="30" t="n">
        <f>ROUND(E256*$B$4,2)</f>
        <v>19.51</v>
      </c>
      <c r="E256" s="31" t="n">
        <v>22.8</v>
      </c>
      <c r="F256" s="32" t="n">
        <v>0.4</v>
      </c>
      <c r="G256" s="57" t="str">
        <v>简繁中文</v>
      </c>
      <c r="H256" s="31" t="n">
        <v>4.04</v>
      </c>
      <c r="I256" s="33" t="n">
        <v>68</v>
      </c>
      <c r="J256" s="34" t="n">
        <v>46288.95763888889</v>
      </c>
      <c r="K256" s="57" t="str">
        <v>未显示收录</v>
      </c>
      <c r="L256" s="59" t="str">
        <v>查看港服</v>
      </c>
      <c r="M256" s="63" t="str"/>
    </row>
    <row r="257" ht="44" customHeight="1">
      <c r="A257" s="56" t="n">
        <v>250</v>
      </c>
      <c r="B257" s="46" t="str">
        <v>HEAVEN SEEKER ――The Savior of This Cruel World</v>
      </c>
      <c r="C257" s="58" t="str">
        <v>PS4</v>
      </c>
      <c r="D257" s="48" t="n">
        <f>ROUND(E257*$B$4,2)</f>
        <v>50.66</v>
      </c>
      <c r="E257" s="49" t="n">
        <v>59.2</v>
      </c>
      <c r="F257" s="50" t="n">
        <v>0.6</v>
      </c>
      <c r="G257" s="58" t="str">
        <v>简体中文</v>
      </c>
      <c r="H257" s="49" t="n">
        <v>3.46</v>
      </c>
      <c r="I257" s="51" t="n">
        <v>67</v>
      </c>
      <c r="J257" s="52" t="n">
        <v>46288.95763888889</v>
      </c>
      <c r="K257" s="58" t="str">
        <v>未显示收录</v>
      </c>
      <c r="L257" s="60" t="str">
        <v>查看港服</v>
      </c>
      <c r="M257" s="64" t="str"/>
    </row>
    <row r="258" ht="44" customHeight="1">
      <c r="A258" s="55" t="n">
        <v>251</v>
      </c>
      <c r="B258" s="28" t="str">
        <v>Rescue Team 911 Simulator - Ambulance, Police, Firefighter</v>
      </c>
      <c r="C258" s="57" t="str">
        <v>PS4</v>
      </c>
      <c r="D258" s="30" t="n">
        <f>ROUND(E258*$B$4,2)</f>
        <v>64.69</v>
      </c>
      <c r="E258" s="31" t="n">
        <v>75.6</v>
      </c>
      <c r="F258" s="32" t="n">
        <v>0.3</v>
      </c>
      <c r="G258" s="57" t="str">
        <v>未列中文</v>
      </c>
      <c r="H258" s="31" t="n">
        <v>1.94</v>
      </c>
      <c r="I258" s="33" t="n">
        <v>66</v>
      </c>
      <c r="J258" s="34" t="n">
        <v>46288.95763888889</v>
      </c>
      <c r="K258" s="57" t="str">
        <v>未显示收录</v>
      </c>
      <c r="L258" s="59" t="str">
        <v>查看港服</v>
      </c>
      <c r="M258" s="63" t="str">
        <v>表列普通折扣价；PS Plus或有额外折扣</v>
      </c>
    </row>
    <row r="259" ht="36" customHeight="1">
      <c r="A259" s="56" t="n">
        <v>252</v>
      </c>
      <c r="B259" s="46" t="str">
        <v>Season Match</v>
      </c>
      <c r="C259" s="58" t="str">
        <v>PS4</v>
      </c>
      <c r="D259" s="48" t="n">
        <f>ROUND(E259*$B$4,2)</f>
        <v>6.67</v>
      </c>
      <c r="E259" s="49" t="n">
        <v>7.8</v>
      </c>
      <c r="F259" s="50" t="n">
        <v>0.9</v>
      </c>
      <c r="G259" s="58" t="str">
        <v>未列中文</v>
      </c>
      <c r="H259" s="49" t="n">
        <v>3.57</v>
      </c>
      <c r="I259" s="51" t="n">
        <v>65</v>
      </c>
      <c r="J259" s="52" t="n">
        <v>46288.95763888889</v>
      </c>
      <c r="K259" s="58" t="str">
        <v>未显示收录</v>
      </c>
      <c r="L259" s="60" t="str">
        <v>查看港服</v>
      </c>
      <c r="M259" s="64" t="str"/>
    </row>
    <row r="260" ht="36" customHeight="1">
      <c r="A260" s="55" t="n">
        <v>253</v>
      </c>
      <c r="B260" s="28" t="str">
        <v>The Hand of Merlin</v>
      </c>
      <c r="C260" s="57" t="str">
        <v>PS4 / PS5</v>
      </c>
      <c r="D260" s="30" t="n">
        <f>ROUND(E260*$B$4,2)</f>
        <v>50.91</v>
      </c>
      <c r="E260" s="31" t="n">
        <v>59.5</v>
      </c>
      <c r="F260" s="32" t="n">
        <v>0.75</v>
      </c>
      <c r="G260" s="57" t="str">
        <v>未列中文</v>
      </c>
      <c r="H260" s="31" t="n">
        <v>3.59</v>
      </c>
      <c r="I260" s="33" t="n">
        <v>64</v>
      </c>
      <c r="J260" s="34" t="n">
        <v>46288.95763888889</v>
      </c>
      <c r="K260" s="57" t="str">
        <v>未显示收录</v>
      </c>
      <c r="L260" s="59" t="str">
        <v>查看港服</v>
      </c>
      <c r="M260" s="63" t="str">
        <v>表列普通折扣价；PS Plus或有额外折扣</v>
      </c>
    </row>
    <row r="261" ht="36" customHeight="1">
      <c r="A261" s="56" t="n">
        <v>254</v>
      </c>
      <c r="B261" s="46" t="str">
        <v>Golfing in Aether</v>
      </c>
      <c r="C261" s="58" t="str">
        <v>PS5</v>
      </c>
      <c r="D261" s="48" t="n">
        <f>ROUND(E261*$B$4,2)</f>
        <v>16.69</v>
      </c>
      <c r="E261" s="49" t="n">
        <v>19.5</v>
      </c>
      <c r="F261" s="50" t="n">
        <v>0.75</v>
      </c>
      <c r="G261" s="58" t="str">
        <v>未列中文</v>
      </c>
      <c r="H261" s="49" t="n">
        <v>4.31</v>
      </c>
      <c r="I261" s="51" t="n">
        <v>64</v>
      </c>
      <c r="J261" s="52" t="n">
        <v>46288.95763888889</v>
      </c>
      <c r="K261" s="58" t="str">
        <v>未显示收录</v>
      </c>
      <c r="L261" s="60" t="str">
        <v>查看港服</v>
      </c>
      <c r="M261" s="64" t="str">
        <v>表列普通折扣价；PS Plus或有额外折扣</v>
      </c>
    </row>
    <row r="262" ht="36" customHeight="1">
      <c r="A262" s="55" t="n">
        <v>255</v>
      </c>
      <c r="B262" s="28" t="str">
        <v>Air Aces</v>
      </c>
      <c r="C262" s="57" t="str">
        <v>PS4</v>
      </c>
      <c r="D262" s="30" t="n">
        <f>ROUND(E262*$B$4,2)</f>
        <v>46.72</v>
      </c>
      <c r="E262" s="31" t="n">
        <v>54.6</v>
      </c>
      <c r="F262" s="32" t="n">
        <v>0.3</v>
      </c>
      <c r="G262" s="57" t="str">
        <v>未列中文</v>
      </c>
      <c r="H262" s="31" t="n">
        <v>2.08</v>
      </c>
      <c r="I262" s="33" t="n">
        <v>63</v>
      </c>
      <c r="J262" s="34" t="n">
        <v>46288.95763888889</v>
      </c>
      <c r="K262" s="57" t="str">
        <v>未显示收录</v>
      </c>
      <c r="L262" s="59" t="str">
        <v>查看港服</v>
      </c>
      <c r="M262" s="63" t="str">
        <v>表列普通折扣价；PS Plus或有额外折扣</v>
      </c>
    </row>
    <row r="263" ht="36" customHeight="1">
      <c r="A263" s="56" t="n">
        <v>256</v>
      </c>
      <c r="B263" s="46" t="str">
        <v>League Of Champions Soccer</v>
      </c>
      <c r="C263" s="58" t="str">
        <v>PS4</v>
      </c>
      <c r="D263" s="48" t="n">
        <f>ROUND(E263*$B$4,2)</f>
        <v>22.76</v>
      </c>
      <c r="E263" s="49" t="n">
        <v>26.6</v>
      </c>
      <c r="F263" s="50" t="n">
        <v>0.3</v>
      </c>
      <c r="G263" s="58" t="str">
        <v>未列中文</v>
      </c>
      <c r="H263" s="49" t="n">
        <v>2.25</v>
      </c>
      <c r="I263" s="51" t="n">
        <v>63</v>
      </c>
      <c r="J263" s="52" t="n">
        <v>46288.95763888889</v>
      </c>
      <c r="K263" s="58" t="str">
        <v>未显示收录</v>
      </c>
      <c r="L263" s="60" t="str">
        <v>查看港服</v>
      </c>
      <c r="M263" s="64" t="str">
        <v>表列普通折扣价；PS Plus或有额外折扣</v>
      </c>
    </row>
    <row r="264" ht="36" customHeight="1">
      <c r="A264" s="55" t="n">
        <v>257</v>
      </c>
      <c r="B264" s="28" t="str">
        <v>Rookie Table Tennis</v>
      </c>
      <c r="C264" s="57" t="str">
        <v>PS5</v>
      </c>
      <c r="D264" s="30" t="n">
        <f>ROUND(E264*$B$4,2)</f>
        <v>46.72</v>
      </c>
      <c r="E264" s="31" t="n">
        <v>54.6</v>
      </c>
      <c r="F264" s="32" t="n">
        <v>0.3</v>
      </c>
      <c r="G264" s="57" t="str">
        <v>未列中文</v>
      </c>
      <c r="H264" s="31" t="n">
        <v>1.66</v>
      </c>
      <c r="I264" s="33" t="n">
        <v>62</v>
      </c>
      <c r="J264" s="34" t="n">
        <v>46288.95763888889</v>
      </c>
      <c r="K264" s="57" t="str">
        <v>未显示收录</v>
      </c>
      <c r="L264" s="59" t="str">
        <v>查看港服</v>
      </c>
      <c r="M264" s="63" t="str">
        <v>表列普通折扣价；PS Plus或有额外折扣</v>
      </c>
    </row>
    <row r="265" ht="36" customHeight="1">
      <c r="A265" s="56" t="n">
        <v>258</v>
      </c>
      <c r="B265" s="46" t="str">
        <v>The Green Light</v>
      </c>
      <c r="C265" s="58" t="str">
        <v>PS5</v>
      </c>
      <c r="D265" s="48" t="n">
        <f>ROUND(E265*$B$4,2)</f>
        <v>21.14</v>
      </c>
      <c r="E265" s="49" t="n">
        <v>24.7</v>
      </c>
      <c r="F265" s="50" t="n">
        <v>0.35</v>
      </c>
      <c r="G265" s="58" t="str">
        <v>简体中文</v>
      </c>
      <c r="H265" s="49" t="n">
        <v>3.92</v>
      </c>
      <c r="I265" s="51" t="n">
        <v>60</v>
      </c>
      <c r="J265" s="52" t="n">
        <v>46288.95763888889</v>
      </c>
      <c r="K265" s="58" t="str">
        <v>未显示收录</v>
      </c>
      <c r="L265" s="60" t="str">
        <v>查看港服</v>
      </c>
      <c r="M265" s="64" t="str">
        <v>表列普通折扣价；PS Plus或有额外折扣</v>
      </c>
    </row>
    <row r="266" ht="36" customHeight="1">
      <c r="A266" s="55" t="n">
        <v>259</v>
      </c>
      <c r="B266" s="28" t="str">
        <v>Grand Prix Racing Universal</v>
      </c>
      <c r="C266" s="57" t="str">
        <v>PS4</v>
      </c>
      <c r="D266" s="30" t="n">
        <f>ROUND(E266*$B$4,2)</f>
        <v>22.76</v>
      </c>
      <c r="E266" s="31" t="n">
        <v>26.6</v>
      </c>
      <c r="F266" s="32" t="n">
        <v>0.3</v>
      </c>
      <c r="G266" s="57" t="str">
        <v>未列中文</v>
      </c>
      <c r="H266" s="31" t="n">
        <v>2.8</v>
      </c>
      <c r="I266" s="33" t="n">
        <v>59</v>
      </c>
      <c r="J266" s="34" t="n">
        <v>46288.95763888889</v>
      </c>
      <c r="K266" s="57" t="str">
        <v>未显示收录</v>
      </c>
      <c r="L266" s="59" t="str">
        <v>查看港服</v>
      </c>
      <c r="M266" s="63" t="str">
        <v>表列普通折扣价；PS Plus或有额外折扣</v>
      </c>
    </row>
    <row r="267" ht="36" customHeight="1">
      <c r="A267" s="56" t="n">
        <v>260</v>
      </c>
      <c r="B267" s="46" t="str">
        <v>Hunter Shooting Camp</v>
      </c>
      <c r="C267" s="58" t="str">
        <v>PS4</v>
      </c>
      <c r="D267" s="48" t="n">
        <f>ROUND(E267*$B$4,2)</f>
        <v>46.72</v>
      </c>
      <c r="E267" s="49" t="n">
        <v>54.6</v>
      </c>
      <c r="F267" s="50" t="n">
        <v>0.3</v>
      </c>
      <c r="G267" s="58" t="str">
        <v>未列中文</v>
      </c>
      <c r="H267" s="49" t="n">
        <v>1.58</v>
      </c>
      <c r="I267" s="51" t="n">
        <v>57</v>
      </c>
      <c r="J267" s="52" t="n">
        <v>46288.95763888889</v>
      </c>
      <c r="K267" s="58" t="str">
        <v>未显示收录</v>
      </c>
      <c r="L267" s="60" t="str">
        <v>查看港服</v>
      </c>
      <c r="M267" s="64" t="str">
        <v>表列普通折扣价；PS Plus或有额外折扣</v>
      </c>
    </row>
    <row r="268" ht="36" customHeight="1">
      <c r="A268" s="55" t="n">
        <v>261</v>
      </c>
      <c r="B268" s="28" t="str">
        <v>Destropolis</v>
      </c>
      <c r="C268" s="57" t="str">
        <v>PS4</v>
      </c>
      <c r="D268" s="30" t="n">
        <f>ROUND(E268*$B$4,2)</f>
        <v>6.5</v>
      </c>
      <c r="E268" s="31" t="n">
        <v>7.6</v>
      </c>
      <c r="F268" s="32" t="n">
        <v>0.8</v>
      </c>
      <c r="G268" s="57" t="str">
        <v>简繁中文</v>
      </c>
      <c r="H268" s="31" t="n">
        <v>3.87</v>
      </c>
      <c r="I268" s="33" t="n">
        <v>55</v>
      </c>
      <c r="J268" s="34" t="n">
        <v>46288.95763888889</v>
      </c>
      <c r="K268" s="57" t="str">
        <v>未显示收录</v>
      </c>
      <c r="L268" s="59" t="str">
        <v>查看港服</v>
      </c>
      <c r="M268" s="63" t="str">
        <v>表列普通折扣价；PS Plus或有额外折扣</v>
      </c>
    </row>
    <row r="269" ht="36" customHeight="1">
      <c r="A269" s="56" t="n">
        <v>262</v>
      </c>
      <c r="B269" s="46" t="str">
        <v>International Table Tennis PS4 &amp; PS5</v>
      </c>
      <c r="C269" s="58" t="str">
        <v>PS4</v>
      </c>
      <c r="D269" s="48" t="n">
        <f>ROUND(E269*$B$4,2)</f>
        <v>22.76</v>
      </c>
      <c r="E269" s="49" t="n">
        <v>26.6</v>
      </c>
      <c r="F269" s="50" t="n">
        <v>0.3</v>
      </c>
      <c r="G269" s="58" t="str">
        <v>未列中文</v>
      </c>
      <c r="H269" s="49" t="n">
        <v>2.09</v>
      </c>
      <c r="I269" s="51" t="n">
        <v>55</v>
      </c>
      <c r="J269" s="52" t="n">
        <v>46288.95763888889</v>
      </c>
      <c r="K269" s="58" t="str">
        <v>未显示收录</v>
      </c>
      <c r="L269" s="60" t="str">
        <v>查看港服</v>
      </c>
      <c r="M269" s="64" t="str">
        <v>表列普通折扣价；PS Plus或有额外折扣</v>
      </c>
    </row>
    <row r="270" ht="36" customHeight="1">
      <c r="A270" s="55" t="n">
        <v>263</v>
      </c>
      <c r="B270" s="28" t="str">
        <v>Togges</v>
      </c>
      <c r="C270" s="57" t="str">
        <v>PS4 / PS5</v>
      </c>
      <c r="D270" s="30" t="n">
        <f>ROUND(E270*$B$4,2)</f>
        <v>19</v>
      </c>
      <c r="E270" s="31" t="n">
        <v>22.2</v>
      </c>
      <c r="F270" s="32" t="n">
        <v>0.85</v>
      </c>
      <c r="G270" s="57" t="str">
        <v>简体中文</v>
      </c>
      <c r="H270" s="31" t="n">
        <v>4.37</v>
      </c>
      <c r="I270" s="33" t="n">
        <v>52</v>
      </c>
      <c r="J270" s="34" t="n">
        <v>46288.95763888889</v>
      </c>
      <c r="K270" s="57" t="str">
        <v>未显示收录</v>
      </c>
      <c r="L270" s="59" t="str">
        <v>查看港服</v>
      </c>
      <c r="M270" s="63" t="str"/>
    </row>
    <row r="271" ht="36" customHeight="1">
      <c r="A271" s="56" t="n">
        <v>264</v>
      </c>
      <c r="B271" s="46" t="str">
        <v>Discolored</v>
      </c>
      <c r="C271" s="58" t="str">
        <v>PS4</v>
      </c>
      <c r="D271" s="48" t="n">
        <f>ROUND(E271*$B$4,2)</f>
        <v>30.04</v>
      </c>
      <c r="E271" s="49" t="n">
        <v>35.1</v>
      </c>
      <c r="F271" s="50" t="n">
        <v>0.55</v>
      </c>
      <c r="G271" s="58" t="str">
        <v>简繁中文</v>
      </c>
      <c r="H271" s="49" t="n">
        <v>3.9</v>
      </c>
      <c r="I271" s="51" t="n">
        <v>52</v>
      </c>
      <c r="J271" s="52" t="n">
        <v>46288.95763888889</v>
      </c>
      <c r="K271" s="58" t="str">
        <v>未显示收录</v>
      </c>
      <c r="L271" s="60" t="str">
        <v>查看港服</v>
      </c>
      <c r="M271" s="64" t="str">
        <v>表列普通折扣价；PS Plus或有额外折扣</v>
      </c>
    </row>
    <row r="272" ht="36" customHeight="1">
      <c r="A272" s="55" t="n">
        <v>265</v>
      </c>
      <c r="B272" s="28" t="str">
        <v>Curling</v>
      </c>
      <c r="C272" s="57" t="str">
        <v>PS4</v>
      </c>
      <c r="D272" s="30" t="n">
        <f>ROUND(E272*$B$4,2)</f>
        <v>22.76</v>
      </c>
      <c r="E272" s="31" t="n">
        <v>26.6</v>
      </c>
      <c r="F272" s="32" t="n">
        <v>0.3</v>
      </c>
      <c r="G272" s="57" t="str">
        <v>未列中文</v>
      </c>
      <c r="H272" s="31" t="n">
        <v>1.83</v>
      </c>
      <c r="I272" s="33" t="n">
        <v>52</v>
      </c>
      <c r="J272" s="34" t="n">
        <v>46288.95763888889</v>
      </c>
      <c r="K272" s="57" t="str">
        <v>未显示收录</v>
      </c>
      <c r="L272" s="59" t="str">
        <v>查看港服</v>
      </c>
      <c r="M272" s="63" t="str">
        <v>表列普通折扣价；PS Plus或有额外折扣</v>
      </c>
    </row>
    <row r="273" ht="36" customHeight="1">
      <c r="A273" s="56" t="n">
        <v>266</v>
      </c>
      <c r="B273" s="46" t="str">
        <v>Urban Street Fighting</v>
      </c>
      <c r="C273" s="58" t="str">
        <v>PS4</v>
      </c>
      <c r="D273" s="48" t="n">
        <f>ROUND(E273*$B$4,2)</f>
        <v>22.76</v>
      </c>
      <c r="E273" s="49" t="n">
        <v>26.6</v>
      </c>
      <c r="F273" s="50" t="n">
        <v>0.3</v>
      </c>
      <c r="G273" s="58" t="str">
        <v>未列中文</v>
      </c>
      <c r="H273" s="49" t="n">
        <v>2.54</v>
      </c>
      <c r="I273" s="51" t="n">
        <v>52</v>
      </c>
      <c r="J273" s="52" t="n">
        <v>46288.95763888889</v>
      </c>
      <c r="K273" s="58" t="str">
        <v>未显示收录</v>
      </c>
      <c r="L273" s="60" t="str">
        <v>查看港服</v>
      </c>
      <c r="M273" s="64" t="str">
        <v>表列普通折扣价；PS Plus或有额外折扣</v>
      </c>
    </row>
    <row r="274" ht="36" customHeight="1">
      <c r="A274" s="55" t="n">
        <v>267</v>
      </c>
      <c r="B274" s="28" t="str">
        <v>十年不晚</v>
      </c>
      <c r="C274" s="57" t="str">
        <v>PS4</v>
      </c>
      <c r="D274" s="30" t="n">
        <f>ROUND(E274*$B$4,2)</f>
        <v>55.45</v>
      </c>
      <c r="E274" s="31" t="n">
        <v>64.8</v>
      </c>
      <c r="F274" s="32" t="n">
        <v>0.4</v>
      </c>
      <c r="G274" s="57" t="str">
        <v>简体中文</v>
      </c>
      <c r="H274" s="31" t="n">
        <v>4.35</v>
      </c>
      <c r="I274" s="33" t="n">
        <v>51</v>
      </c>
      <c r="J274" s="34" t="n">
        <v>46288.95763888889</v>
      </c>
      <c r="K274" s="57" t="str">
        <v>未显示收录</v>
      </c>
      <c r="L274" s="59" t="str">
        <v>查看港服</v>
      </c>
      <c r="M274" s="63" t="str"/>
    </row>
    <row r="275" ht="36" customHeight="1">
      <c r="A275" s="56" t="n">
        <v>268</v>
      </c>
      <c r="B275" s="46" t="str">
        <v>The World After</v>
      </c>
      <c r="C275" s="58" t="str">
        <v>PS4</v>
      </c>
      <c r="D275" s="48" t="n">
        <f>ROUND(E275*$B$4,2)</f>
        <v>33.37</v>
      </c>
      <c r="E275" s="49" t="n">
        <v>39</v>
      </c>
      <c r="F275" s="50" t="n">
        <v>0.5</v>
      </c>
      <c r="G275" s="58" t="str">
        <v>简体中文</v>
      </c>
      <c r="H275" s="49" t="n">
        <v>3.26</v>
      </c>
      <c r="I275" s="51" t="n">
        <v>50</v>
      </c>
      <c r="J275" s="52" t="n">
        <v>46288.95763888889</v>
      </c>
      <c r="K275" s="58" t="str">
        <v>未显示收录</v>
      </c>
      <c r="L275" s="60" t="str">
        <v>查看港服</v>
      </c>
      <c r="M275" s="64" t="str">
        <v>表列普通折扣价；PS Plus或有额外折扣</v>
      </c>
    </row>
    <row r="276" ht="36" customHeight="1">
      <c r="A276" s="55" t="n">
        <v>269</v>
      </c>
      <c r="B276" s="28" t="str">
        <v>Bike Runner</v>
      </c>
      <c r="C276" s="57" t="str">
        <v>PS5</v>
      </c>
      <c r="D276" s="30" t="n">
        <f>ROUND(E276*$B$4,2)</f>
        <v>46.72</v>
      </c>
      <c r="E276" s="31" t="n">
        <v>54.6</v>
      </c>
      <c r="F276" s="32" t="n">
        <v>0.3</v>
      </c>
      <c r="G276" s="57" t="str">
        <v>未列中文</v>
      </c>
      <c r="H276" s="31" t="n">
        <v>1.69</v>
      </c>
      <c r="I276" s="33" t="n">
        <v>49</v>
      </c>
      <c r="J276" s="34" t="n">
        <v>46288.95763888889</v>
      </c>
      <c r="K276" s="57" t="str">
        <v>未显示收录</v>
      </c>
      <c r="L276" s="59" t="str">
        <v>查看港服</v>
      </c>
      <c r="M276" s="63" t="str">
        <v>表列普通折扣价；PS Plus或有额外折扣</v>
      </c>
    </row>
    <row r="277" ht="36" customHeight="1">
      <c r="A277" s="56" t="n">
        <v>270</v>
      </c>
      <c r="B277" s="46" t="str">
        <v>烹飪夥伴 (Cooking Companions)</v>
      </c>
      <c r="C277" s="58" t="str">
        <v>PS5</v>
      </c>
      <c r="D277" s="48" t="n">
        <f>ROUND(E277*$B$4,2)</f>
        <v>58.1</v>
      </c>
      <c r="E277" s="49" t="n">
        <v>67.9</v>
      </c>
      <c r="F277" s="50" t="n">
        <v>0.3</v>
      </c>
      <c r="G277" s="58" t="str">
        <v>简繁中文</v>
      </c>
      <c r="H277" s="49" t="n">
        <v>4.31</v>
      </c>
      <c r="I277" s="51" t="n">
        <v>49</v>
      </c>
      <c r="J277" s="52" t="n">
        <v>46288.95763888889</v>
      </c>
      <c r="K277" s="58" t="str">
        <v>未显示收录</v>
      </c>
      <c r="L277" s="60" t="str">
        <v>查看港服</v>
      </c>
      <c r="M277" s="64" t="str"/>
    </row>
    <row r="278" ht="36" customHeight="1">
      <c r="A278" s="55" t="n">
        <v>271</v>
      </c>
      <c r="B278" s="28" t="str">
        <v>Lia: Hacking Destiny</v>
      </c>
      <c r="C278" s="57" t="str">
        <v>PS4</v>
      </c>
      <c r="D278" s="30" t="n">
        <f>ROUND(E278*$B$4,2)</f>
        <v>36.97</v>
      </c>
      <c r="E278" s="31" t="n">
        <v>43.2</v>
      </c>
      <c r="F278" s="32" t="n">
        <v>0.6</v>
      </c>
      <c r="G278" s="57" t="str">
        <v>未列中文</v>
      </c>
      <c r="H278" s="31" t="n">
        <v>3.98</v>
      </c>
      <c r="I278" s="33" t="n">
        <v>49</v>
      </c>
      <c r="J278" s="34" t="n">
        <v>46288.95763888889</v>
      </c>
      <c r="K278" s="57" t="str">
        <v>未显示收录</v>
      </c>
      <c r="L278" s="59" t="str">
        <v>查看港服</v>
      </c>
      <c r="M278" s="63" t="str">
        <v>表列普通折扣价；PS Plus或有额外折扣</v>
      </c>
    </row>
    <row r="279" ht="36" customHeight="1">
      <c r="A279" s="56" t="n">
        <v>272</v>
      </c>
      <c r="B279" s="46" t="str">
        <v>禁止過分投入 (Love Too Easily)</v>
      </c>
      <c r="C279" s="58" t="str">
        <v>PS4 / PS5</v>
      </c>
      <c r="D279" s="48" t="n">
        <f>ROUND(E279*$B$4,2)</f>
        <v>72.31</v>
      </c>
      <c r="E279" s="49" t="n">
        <v>84.5</v>
      </c>
      <c r="F279" s="50" t="n">
        <v>0.5</v>
      </c>
      <c r="G279" s="58" t="str">
        <v>简繁中文</v>
      </c>
      <c r="H279" s="49" t="n">
        <v>3.96</v>
      </c>
      <c r="I279" s="51" t="n">
        <v>48</v>
      </c>
      <c r="J279" s="52" t="n">
        <v>46288.95763888889</v>
      </c>
      <c r="K279" s="58" t="str">
        <v>未显示收录</v>
      </c>
      <c r="L279" s="60" t="str">
        <v>查看港服</v>
      </c>
      <c r="M279" s="64" t="str"/>
    </row>
    <row r="280" ht="36" customHeight="1">
      <c r="A280" s="55" t="n">
        <v>273</v>
      </c>
      <c r="B280" s="28" t="str">
        <v>Froggy Crossing</v>
      </c>
      <c r="C280" s="57" t="str">
        <v>PS4</v>
      </c>
      <c r="D280" s="30" t="n">
        <f>ROUND(E280*$B$4,2)</f>
        <v>10.78</v>
      </c>
      <c r="E280" s="31" t="n">
        <v>12.6</v>
      </c>
      <c r="F280" s="32" t="n">
        <v>0.3</v>
      </c>
      <c r="G280" s="57" t="str">
        <v>未列中文</v>
      </c>
      <c r="H280" s="31" t="n">
        <v>1.75</v>
      </c>
      <c r="I280" s="33" t="n">
        <v>48</v>
      </c>
      <c r="J280" s="34" t="n">
        <v>46288.95763888889</v>
      </c>
      <c r="K280" s="57" t="str">
        <v>未显示收录</v>
      </c>
      <c r="L280" s="59" t="str">
        <v>查看港服</v>
      </c>
      <c r="M280" s="63" t="str">
        <v>表列普通折扣价；PS Plus或有额外折扣</v>
      </c>
    </row>
    <row r="281" ht="36" customHeight="1">
      <c r="A281" s="56" t="n">
        <v>274</v>
      </c>
      <c r="B281" s="46" t="str">
        <v>REKT! High Octane Stunts</v>
      </c>
      <c r="C281" s="58" t="str">
        <v>PS4</v>
      </c>
      <c r="D281" s="48" t="n">
        <f>ROUND(E281*$B$4,2)</f>
        <v>13.01</v>
      </c>
      <c r="E281" s="49" t="n">
        <v>15.2</v>
      </c>
      <c r="F281" s="50" t="n">
        <v>0.6</v>
      </c>
      <c r="G281" s="58" t="str">
        <v>未列中文</v>
      </c>
      <c r="H281" s="49" t="n">
        <v>4.31</v>
      </c>
      <c r="I281" s="51" t="n">
        <v>48</v>
      </c>
      <c r="J281" s="52" t="n">
        <v>46288.95763888889</v>
      </c>
      <c r="K281" s="58" t="str">
        <v>未显示收录</v>
      </c>
      <c r="L281" s="60" t="str">
        <v>查看港服</v>
      </c>
      <c r="M281" s="64" t="str">
        <v>表列普通折扣价；PS Plus或有额外折扣</v>
      </c>
    </row>
    <row r="282" ht="36" customHeight="1">
      <c r="A282" s="55" t="n">
        <v>275</v>
      </c>
      <c r="B282" s="28" t="str">
        <v>Breakin Bricks</v>
      </c>
      <c r="C282" s="57" t="str">
        <v>PS4</v>
      </c>
      <c r="D282" s="30" t="n">
        <f>ROUND(E282*$B$4,2)</f>
        <v>22.76</v>
      </c>
      <c r="E282" s="31" t="n">
        <v>26.6</v>
      </c>
      <c r="F282" s="32" t="n">
        <v>0.3</v>
      </c>
      <c r="G282" s="57" t="str">
        <v>未列中文</v>
      </c>
      <c r="H282" s="31" t="n">
        <v>3.22</v>
      </c>
      <c r="I282" s="33" t="n">
        <v>46</v>
      </c>
      <c r="J282" s="34" t="n">
        <v>46288.95763888889</v>
      </c>
      <c r="K282" s="57" t="str">
        <v>未显示收录</v>
      </c>
      <c r="L282" s="59" t="str">
        <v>查看港服</v>
      </c>
      <c r="M282" s="63" t="str">
        <v>表列普通折扣价；PS Plus或有额外折扣</v>
      </c>
    </row>
    <row r="283" ht="36" customHeight="1">
      <c r="A283" s="56" t="n">
        <v>276</v>
      </c>
      <c r="B283" s="46" t="str">
        <v>Alder's Blood: Definitive Edition</v>
      </c>
      <c r="C283" s="58" t="str">
        <v>PS4</v>
      </c>
      <c r="D283" s="48" t="n">
        <f>ROUND(E283*$B$4,2)</f>
        <v>36.97</v>
      </c>
      <c r="E283" s="49" t="n">
        <v>43.2</v>
      </c>
      <c r="F283" s="50" t="n">
        <v>0.6</v>
      </c>
      <c r="G283" s="58" t="str">
        <v>简体中文</v>
      </c>
      <c r="H283" s="49" t="n">
        <v>3.22</v>
      </c>
      <c r="I283" s="51" t="n">
        <v>45</v>
      </c>
      <c r="J283" s="52" t="n">
        <v>46288.95763888889</v>
      </c>
      <c r="K283" s="58" t="str">
        <v>未显示收录</v>
      </c>
      <c r="L283" s="60" t="str">
        <v>查看港服</v>
      </c>
      <c r="M283" s="64" t="str">
        <v>表列普通折扣价；PS Plus或有额外折扣</v>
      </c>
    </row>
    <row r="284" ht="36" customHeight="1">
      <c r="A284" s="55" t="n">
        <v>277</v>
      </c>
      <c r="B284" s="28" t="str">
        <v>3D Table Soccer Foosball</v>
      </c>
      <c r="C284" s="57" t="str">
        <v>PS4</v>
      </c>
      <c r="D284" s="30" t="n">
        <f>ROUND(E284*$B$4,2)</f>
        <v>22.76</v>
      </c>
      <c r="E284" s="31" t="n">
        <v>26.6</v>
      </c>
      <c r="F284" s="32" t="n">
        <v>0.3</v>
      </c>
      <c r="G284" s="57" t="str">
        <v>未列中文</v>
      </c>
      <c r="H284" s="31" t="n">
        <v>2.31</v>
      </c>
      <c r="I284" s="33" t="n">
        <v>45</v>
      </c>
      <c r="J284" s="34" t="n">
        <v>46288.95763888889</v>
      </c>
      <c r="K284" s="57" t="str">
        <v>未显示收录</v>
      </c>
      <c r="L284" s="59" t="str">
        <v>查看港服</v>
      </c>
      <c r="M284" s="63" t="str">
        <v>表列普通折扣价；PS Plus或有额外折扣</v>
      </c>
    </row>
    <row r="285" ht="36" customHeight="1">
      <c r="A285" s="56" t="n">
        <v>278</v>
      </c>
      <c r="B285" s="46" t="str">
        <v>Pampas and Selene</v>
      </c>
      <c r="C285" s="58" t="str">
        <v>PS5</v>
      </c>
      <c r="D285" s="48" t="n">
        <f>ROUND(E285*$B$4,2)</f>
        <v>46.72</v>
      </c>
      <c r="E285" s="49" t="n">
        <v>54.6</v>
      </c>
      <c r="F285" s="50" t="n">
        <v>0.3</v>
      </c>
      <c r="G285" s="58" t="str">
        <v>未列中文</v>
      </c>
      <c r="H285" s="49" t="n">
        <v>4.71</v>
      </c>
      <c r="I285" s="51" t="n">
        <v>45</v>
      </c>
      <c r="J285" s="52" t="n">
        <v>46288.95763888889</v>
      </c>
      <c r="K285" s="58" t="str">
        <v>未显示收录</v>
      </c>
      <c r="L285" s="60" t="str">
        <v>查看港服</v>
      </c>
      <c r="M285" s="64" t="str">
        <v>表列普通折扣价；PS Plus或有额外折扣</v>
      </c>
    </row>
    <row r="286" ht="36" customHeight="1">
      <c r="A286" s="55" t="n">
        <v>279</v>
      </c>
      <c r="B286" s="28" t="str">
        <v>不要吃兔兔 (Radical Rabbit Stew) - 數位豪華版</v>
      </c>
      <c r="C286" s="57" t="str">
        <v>PS4</v>
      </c>
      <c r="D286" s="30" t="n">
        <f>ROUND(E286*$B$4,2)</f>
        <v>63.32</v>
      </c>
      <c r="E286" s="31" t="n">
        <v>74</v>
      </c>
      <c r="F286" s="32" t="n">
        <v>0.5</v>
      </c>
      <c r="G286" s="57" t="str">
        <v>简繁中文</v>
      </c>
      <c r="H286" s="31" t="n">
        <v>4.13</v>
      </c>
      <c r="I286" s="33" t="n">
        <v>45</v>
      </c>
      <c r="J286" s="34" t="n">
        <v>46288.95763888889</v>
      </c>
      <c r="K286" s="57" t="str">
        <v>未显示收录</v>
      </c>
      <c r="L286" s="59" t="str">
        <v>查看港服</v>
      </c>
      <c r="M286" s="63" t="str"/>
    </row>
    <row r="287" ht="36" customHeight="1">
      <c r="A287" s="56" t="n">
        <v>280</v>
      </c>
      <c r="B287" s="46" t="str">
        <v>Monkey Kong</v>
      </c>
      <c r="C287" s="58" t="str">
        <v>PS4</v>
      </c>
      <c r="D287" s="48" t="n">
        <f>ROUND(E287*$B$4,2)</f>
        <v>22.76</v>
      </c>
      <c r="E287" s="49" t="n">
        <v>26.6</v>
      </c>
      <c r="F287" s="50" t="n">
        <v>0.3</v>
      </c>
      <c r="G287" s="58" t="str">
        <v>未列中文</v>
      </c>
      <c r="H287" s="49" t="n">
        <v>2.93</v>
      </c>
      <c r="I287" s="51" t="n">
        <v>43</v>
      </c>
      <c r="J287" s="52" t="n">
        <v>46288.95763888889</v>
      </c>
      <c r="K287" s="58" t="str">
        <v>未显示收录</v>
      </c>
      <c r="L287" s="60" t="str">
        <v>查看港服</v>
      </c>
      <c r="M287" s="64" t="str">
        <v>表列普通折扣价；PS Plus或有额外折扣</v>
      </c>
    </row>
    <row r="288" ht="36" customHeight="1">
      <c r="A288" s="55" t="n">
        <v>281</v>
      </c>
      <c r="B288" s="28" t="str">
        <v>Masters Tennis HD</v>
      </c>
      <c r="C288" s="57" t="str">
        <v>PS5</v>
      </c>
      <c r="D288" s="30" t="n">
        <f>ROUND(E288*$B$4,2)</f>
        <v>22.76</v>
      </c>
      <c r="E288" s="31" t="n">
        <v>26.6</v>
      </c>
      <c r="F288" s="32" t="n">
        <v>0.3</v>
      </c>
      <c r="G288" s="57" t="str">
        <v>未列中文</v>
      </c>
      <c r="H288" s="31" t="n">
        <v>1.19</v>
      </c>
      <c r="I288" s="33" t="n">
        <v>43</v>
      </c>
      <c r="J288" s="34" t="n">
        <v>46288.95763888889</v>
      </c>
      <c r="K288" s="57" t="str">
        <v>未显示收录</v>
      </c>
      <c r="L288" s="59" t="str">
        <v>查看港服</v>
      </c>
      <c r="M288" s="63" t="str">
        <v>表列普通折扣价；PS Plus或有额外折扣</v>
      </c>
    </row>
    <row r="289" ht="36" customHeight="1">
      <c r="A289" s="56" t="n">
        <v>282</v>
      </c>
      <c r="B289" s="46" t="str">
        <v>Mortal Glory 2</v>
      </c>
      <c r="C289" s="58" t="str">
        <v>PS4 / PS5</v>
      </c>
      <c r="D289" s="48" t="n">
        <f>ROUND(E289*$B$4,2)</f>
        <v>40.05</v>
      </c>
      <c r="E289" s="49" t="n">
        <v>46.8</v>
      </c>
      <c r="F289" s="50" t="n">
        <v>0.4</v>
      </c>
      <c r="G289" s="58" t="str">
        <v>简体中文</v>
      </c>
      <c r="H289" s="49" t="n">
        <v>4.6</v>
      </c>
      <c r="I289" s="51" t="n">
        <v>42</v>
      </c>
      <c r="J289" s="52" t="n">
        <v>46288.95763888889</v>
      </c>
      <c r="K289" s="58" t="str">
        <v>未显示收录</v>
      </c>
      <c r="L289" s="60" t="str">
        <v>查看港服</v>
      </c>
      <c r="M289" s="64" t="str"/>
    </row>
    <row r="290" ht="36" customHeight="1">
      <c r="A290" s="55" t="n">
        <v>283</v>
      </c>
      <c r="B290" s="28" t="str">
        <v>Mortal Glory 2 + DLC</v>
      </c>
      <c r="C290" s="57" t="str">
        <v>PS4 / PS5</v>
      </c>
      <c r="D290" s="30" t="n">
        <f>ROUND(E290*$B$4,2)</f>
        <v>55.45</v>
      </c>
      <c r="E290" s="31" t="n">
        <v>64.8</v>
      </c>
      <c r="F290" s="32" t="n">
        <v>0.4</v>
      </c>
      <c r="G290" s="57" t="str">
        <v>简体中文</v>
      </c>
      <c r="H290" s="31" t="n">
        <v>4.6</v>
      </c>
      <c r="I290" s="33" t="n">
        <v>42</v>
      </c>
      <c r="J290" s="34" t="n">
        <v>46288.95763888889</v>
      </c>
      <c r="K290" s="57" t="str">
        <v>未显示收录</v>
      </c>
      <c r="L290" s="59" t="str">
        <v>查看港服</v>
      </c>
      <c r="M290" s="63" t="str"/>
    </row>
    <row r="291" ht="36" customHeight="1">
      <c r="A291" s="56" t="n">
        <v>284</v>
      </c>
      <c r="B291" s="46" t="str">
        <v>Bocce</v>
      </c>
      <c r="C291" s="58" t="str">
        <v>PS4</v>
      </c>
      <c r="D291" s="48" t="n">
        <f>ROUND(E291*$B$4,2)</f>
        <v>22.76</v>
      </c>
      <c r="E291" s="49" t="n">
        <v>26.6</v>
      </c>
      <c r="F291" s="50" t="n">
        <v>0.3</v>
      </c>
      <c r="G291" s="58" t="str">
        <v>未列中文</v>
      </c>
      <c r="H291" s="49" t="n">
        <v>1.69</v>
      </c>
      <c r="I291" s="51" t="n">
        <v>42</v>
      </c>
      <c r="J291" s="52" t="n">
        <v>46288.95763888889</v>
      </c>
      <c r="K291" s="58" t="str">
        <v>未显示收录</v>
      </c>
      <c r="L291" s="60" t="str">
        <v>查看港服</v>
      </c>
      <c r="M291" s="64" t="str">
        <v>表列普通折扣价；PS Plus或有额外折扣</v>
      </c>
    </row>
    <row r="292" ht="36" customHeight="1">
      <c r="A292" s="55" t="n">
        <v>285</v>
      </c>
      <c r="B292" s="28" t="str">
        <v>真正的英雄 (One True Hero)</v>
      </c>
      <c r="C292" s="57" t="str">
        <v>PS4</v>
      </c>
      <c r="D292" s="30" t="n">
        <f>ROUND(E292*$B$4,2)</f>
        <v>36.97</v>
      </c>
      <c r="E292" s="31" t="n">
        <v>43.2</v>
      </c>
      <c r="F292" s="32" t="n">
        <v>0.6</v>
      </c>
      <c r="G292" s="57" t="str">
        <v>未列中文</v>
      </c>
      <c r="H292" s="31" t="n">
        <v>3.26</v>
      </c>
      <c r="I292" s="33" t="n">
        <v>42</v>
      </c>
      <c r="J292" s="34" t="n">
        <v>46288.95763888889</v>
      </c>
      <c r="K292" s="57" t="str">
        <v>未显示收录</v>
      </c>
      <c r="L292" s="59" t="str">
        <v>查看港服</v>
      </c>
      <c r="M292" s="63" t="str">
        <v>表列普通折扣价；PS Plus或有额外折扣</v>
      </c>
    </row>
    <row r="293" ht="36" customHeight="1">
      <c r="A293" s="56" t="n">
        <v>286</v>
      </c>
      <c r="B293" s="46" t="str">
        <v>Shakes on a Plane</v>
      </c>
      <c r="C293" s="58" t="str">
        <v>PS4</v>
      </c>
      <c r="D293" s="48" t="n">
        <f>ROUND(E293*$B$4,2)</f>
        <v>12.66</v>
      </c>
      <c r="E293" s="49" t="n">
        <v>14.8</v>
      </c>
      <c r="F293" s="50" t="n">
        <v>0.9</v>
      </c>
      <c r="G293" s="58" t="str">
        <v>简繁中文</v>
      </c>
      <c r="H293" s="49" t="n">
        <v>3.38</v>
      </c>
      <c r="I293" s="51" t="n">
        <v>42</v>
      </c>
      <c r="J293" s="52" t="n">
        <v>46288.95763888889</v>
      </c>
      <c r="K293" s="58" t="str">
        <v>未显示收录</v>
      </c>
      <c r="L293" s="60" t="str">
        <v>查看港服</v>
      </c>
      <c r="M293" s="64" t="str"/>
    </row>
    <row r="294" ht="44" customHeight="1">
      <c r="A294" s="55" t="n">
        <v>287</v>
      </c>
      <c r="B294" s="28" t="str">
        <v>鎖音之匣 | 回合制賽博龐克動作遊戲 (Keylocker | Turn Based Cyberpunk Action)</v>
      </c>
      <c r="C294" s="57" t="str">
        <v>PS5</v>
      </c>
      <c r="D294" s="30" t="n">
        <f>ROUND(E294*$B$4,2)</f>
        <v>69.65</v>
      </c>
      <c r="E294" s="31" t="n">
        <v>81.4</v>
      </c>
      <c r="F294" s="32" t="n">
        <v>0.45</v>
      </c>
      <c r="G294" s="57" t="str">
        <v>简繁中文</v>
      </c>
      <c r="H294" s="31" t="n">
        <v>4.45</v>
      </c>
      <c r="I294" s="33" t="n">
        <v>42</v>
      </c>
      <c r="J294" s="34" t="n">
        <v>46288.95763888889</v>
      </c>
      <c r="K294" s="57" t="str">
        <v>未显示收录</v>
      </c>
      <c r="L294" s="59" t="str">
        <v>查看港服</v>
      </c>
      <c r="M294" s="63" t="str"/>
    </row>
    <row r="295" ht="36" customHeight="1">
      <c r="A295" s="56" t="n">
        <v>288</v>
      </c>
      <c r="B295" s="46" t="str">
        <v>Die by Anything</v>
      </c>
      <c r="C295" s="58" t="str">
        <v>PS4</v>
      </c>
      <c r="D295" s="48" t="n">
        <f>ROUND(E295*$B$4,2)</f>
        <v>23.36</v>
      </c>
      <c r="E295" s="49" t="n">
        <v>27.3</v>
      </c>
      <c r="F295" s="50" t="n">
        <v>0.65</v>
      </c>
      <c r="G295" s="58" t="str">
        <v>简繁中文</v>
      </c>
      <c r="H295" s="49" t="n">
        <v>3.15</v>
      </c>
      <c r="I295" s="51" t="n">
        <v>41</v>
      </c>
      <c r="J295" s="52" t="n">
        <v>46288.95763888889</v>
      </c>
      <c r="K295" s="58" t="str">
        <v>未显示收录</v>
      </c>
      <c r="L295" s="60" t="str">
        <v>查看港服</v>
      </c>
      <c r="M295" s="64" t="str">
        <v>表列普通折扣价；PS Plus或有额外折扣</v>
      </c>
    </row>
    <row r="296" ht="36" customHeight="1">
      <c r="A296" s="55" t="n">
        <v>289</v>
      </c>
      <c r="B296" s="28" t="str">
        <v>Fueled Up</v>
      </c>
      <c r="C296" s="57" t="str">
        <v>PS4</v>
      </c>
      <c r="D296" s="30" t="n">
        <f>ROUND(E296*$B$4,2)</f>
        <v>63.32</v>
      </c>
      <c r="E296" s="31" t="n">
        <v>74</v>
      </c>
      <c r="F296" s="32" t="n">
        <v>0.5</v>
      </c>
      <c r="G296" s="57" t="str">
        <v>简体中文</v>
      </c>
      <c r="H296" s="31" t="n">
        <v>3.61</v>
      </c>
      <c r="I296" s="33" t="n">
        <v>41</v>
      </c>
      <c r="J296" s="34" t="n">
        <v>46288.95763888889</v>
      </c>
      <c r="K296" s="57" t="str">
        <v>未显示收录</v>
      </c>
      <c r="L296" s="59" t="str">
        <v>查看港服</v>
      </c>
      <c r="M296" s="63" t="str">
        <v>表列普通折扣价；PS Plus或有额外折扣</v>
      </c>
    </row>
    <row r="297" ht="36" customHeight="1">
      <c r="A297" s="56" t="n">
        <v>290</v>
      </c>
      <c r="B297" s="46" t="str">
        <v>Egg Runner</v>
      </c>
      <c r="C297" s="58" t="str">
        <v>PS4</v>
      </c>
      <c r="D297" s="48" t="n">
        <f>ROUND(E297*$B$4,2)</f>
        <v>10.78</v>
      </c>
      <c r="E297" s="49" t="n">
        <v>12.6</v>
      </c>
      <c r="F297" s="50" t="n">
        <v>0.3</v>
      </c>
      <c r="G297" s="58" t="str">
        <v>未列中文</v>
      </c>
      <c r="H297" s="49" t="n">
        <v>2.93</v>
      </c>
      <c r="I297" s="51" t="n">
        <v>40</v>
      </c>
      <c r="J297" s="52" t="n">
        <v>46288.95763888889</v>
      </c>
      <c r="K297" s="58" t="str">
        <v>未显示收录</v>
      </c>
      <c r="L297" s="60" t="str">
        <v>查看港服</v>
      </c>
      <c r="M297" s="64" t="str">
        <v>表列普通折扣价；PS Plus或有额外折扣</v>
      </c>
    </row>
    <row r="298" ht="36" customHeight="1">
      <c r="A298" s="55" t="n">
        <v>291</v>
      </c>
      <c r="B298" s="28" t="str">
        <v>Sticky Business</v>
      </c>
      <c r="C298" s="57" t="str">
        <v>PS5</v>
      </c>
      <c r="D298" s="30" t="n">
        <f>ROUND(E298*$B$4,2)</f>
        <v>33.37</v>
      </c>
      <c r="E298" s="31" t="n">
        <v>39</v>
      </c>
      <c r="F298" s="32" t="n">
        <v>0.5</v>
      </c>
      <c r="G298" s="57" t="str">
        <v>简繁中文</v>
      </c>
      <c r="H298" s="31" t="n">
        <v>4.53</v>
      </c>
      <c r="I298" s="33" t="n">
        <v>40</v>
      </c>
      <c r="J298" s="34" t="n">
        <v>46288.95763888889</v>
      </c>
      <c r="K298" s="57" t="str">
        <v>未显示收录</v>
      </c>
      <c r="L298" s="59" t="str">
        <v>查看港服</v>
      </c>
      <c r="M298" s="63" t="str"/>
    </row>
    <row r="299" ht="36" customHeight="1">
      <c r="A299" s="56" t="n">
        <v>292</v>
      </c>
      <c r="B299" s="46" t="str">
        <v>Sticky Business - Complete Bundle</v>
      </c>
      <c r="C299" s="58" t="str">
        <v>PS5</v>
      </c>
      <c r="D299" s="48" t="n">
        <f>ROUND(E299*$B$4,2)</f>
        <v>63.32</v>
      </c>
      <c r="E299" s="49" t="n">
        <v>74</v>
      </c>
      <c r="F299" s="50" t="n">
        <v>0.5</v>
      </c>
      <c r="G299" s="58" t="str">
        <v>简繁中文</v>
      </c>
      <c r="H299" s="49" t="n">
        <v>4.53</v>
      </c>
      <c r="I299" s="51" t="n">
        <v>40</v>
      </c>
      <c r="J299" s="52" t="n">
        <v>46288.95763888889</v>
      </c>
      <c r="K299" s="58" t="str">
        <v>未显示收录</v>
      </c>
      <c r="L299" s="60" t="str">
        <v>查看港服</v>
      </c>
      <c r="M299" s="64" t="str"/>
    </row>
    <row r="300" ht="36" customHeight="1">
      <c r="A300" s="55" t="n">
        <v>293</v>
      </c>
      <c r="B300" s="28" t="str">
        <v>Easy Flight Simulator 2</v>
      </c>
      <c r="C300" s="57" t="str">
        <v>PS4</v>
      </c>
      <c r="D300" s="30" t="n">
        <f>ROUND(E300*$B$4,2)</f>
        <v>46.72</v>
      </c>
      <c r="E300" s="31" t="n">
        <v>54.6</v>
      </c>
      <c r="F300" s="32" t="n">
        <v>0.3</v>
      </c>
      <c r="G300" s="57" t="str">
        <v>未列中文</v>
      </c>
      <c r="H300" s="31" t="n">
        <v>1.26</v>
      </c>
      <c r="I300" s="33" t="n">
        <v>38</v>
      </c>
      <c r="J300" s="34" t="n">
        <v>46288.95763888889</v>
      </c>
      <c r="K300" s="57" t="str">
        <v>未显示收录</v>
      </c>
      <c r="L300" s="59" t="str">
        <v>查看港服</v>
      </c>
      <c r="M300" s="63" t="str">
        <v>表列普通折扣价；PS Plus或有额外折扣</v>
      </c>
    </row>
    <row r="301" ht="36" customHeight="1">
      <c r="A301" s="56" t="n">
        <v>294</v>
      </c>
      <c r="B301" s="46" t="str">
        <v>Offroad Moto Bike</v>
      </c>
      <c r="C301" s="58" t="str">
        <v>PS4</v>
      </c>
      <c r="D301" s="48" t="n">
        <f>ROUND(E301*$B$4,2)</f>
        <v>10.78</v>
      </c>
      <c r="E301" s="49" t="n">
        <v>12.6</v>
      </c>
      <c r="F301" s="50" t="n">
        <v>0.3</v>
      </c>
      <c r="G301" s="58" t="str">
        <v>未列中文</v>
      </c>
      <c r="H301" s="49" t="n">
        <v>2.45</v>
      </c>
      <c r="I301" s="51" t="n">
        <v>38</v>
      </c>
      <c r="J301" s="52" t="n">
        <v>46288.95763888889</v>
      </c>
      <c r="K301" s="58" t="str">
        <v>未显示收录</v>
      </c>
      <c r="L301" s="60" t="str">
        <v>查看港服</v>
      </c>
      <c r="M301" s="64" t="str">
        <v>表列普通折扣价；PS Plus或有额外折扣</v>
      </c>
    </row>
    <row r="302" ht="36" customHeight="1">
      <c r="A302" s="55" t="n">
        <v>295</v>
      </c>
      <c r="B302" s="28" t="str">
        <v>Phantom Spark</v>
      </c>
      <c r="C302" s="57" t="str">
        <v>PS5</v>
      </c>
      <c r="D302" s="30" t="n">
        <f>ROUND(E302*$B$4,2)</f>
        <v>44.33</v>
      </c>
      <c r="E302" s="31" t="n">
        <v>51.8</v>
      </c>
      <c r="F302" s="32" t="n">
        <v>0.65</v>
      </c>
      <c r="G302" s="57" t="str">
        <v>简繁中文</v>
      </c>
      <c r="H302" s="31" t="n">
        <v>4.58</v>
      </c>
      <c r="I302" s="33" t="n">
        <v>38</v>
      </c>
      <c r="J302" s="34" t="n">
        <v>46288.95763888889</v>
      </c>
      <c r="K302" s="57" t="str">
        <v>未显示收录</v>
      </c>
      <c r="L302" s="59" t="str">
        <v>查看港服</v>
      </c>
      <c r="M302" s="63" t="str"/>
    </row>
    <row r="303" ht="44" customHeight="1">
      <c r="A303" s="56" t="n">
        <v>296</v>
      </c>
      <c r="B303" s="46" t="str">
        <v>禁止過分投入2：夏日小酒館 (Love Too Easily 2: Summer Pocha)</v>
      </c>
      <c r="C303" s="58" t="str">
        <v>PS5</v>
      </c>
      <c r="D303" s="48" t="n">
        <f>ROUND(E303*$B$4,2)</f>
        <v>88.65</v>
      </c>
      <c r="E303" s="49" t="n">
        <v>103.6</v>
      </c>
      <c r="F303" s="50" t="n">
        <v>0.3</v>
      </c>
      <c r="G303" s="58" t="str">
        <v>简繁中文</v>
      </c>
      <c r="H303" s="49" t="n">
        <v>3.92</v>
      </c>
      <c r="I303" s="51" t="n">
        <v>37</v>
      </c>
      <c r="J303" s="52" t="n">
        <v>46288.95763888889</v>
      </c>
      <c r="K303" s="58" t="str">
        <v>未显示收录</v>
      </c>
      <c r="L303" s="60" t="str">
        <v>查看港服</v>
      </c>
      <c r="M303" s="64" t="str"/>
    </row>
    <row r="304" ht="36" customHeight="1">
      <c r="A304" s="55" t="n">
        <v>297</v>
      </c>
      <c r="B304" s="28" t="str">
        <v>NO MOSAIC GIRLS with SESS-AI 2.0</v>
      </c>
      <c r="C304" s="57" t="str">
        <v>PS5</v>
      </c>
      <c r="D304" s="30" t="n">
        <f>ROUND(E304*$B$4,2)</f>
        <v>31.66</v>
      </c>
      <c r="E304" s="31" t="n">
        <v>37</v>
      </c>
      <c r="F304" s="32" t="n">
        <v>0.75</v>
      </c>
      <c r="G304" s="57" t="str">
        <v>未列中文</v>
      </c>
      <c r="H304" s="31" t="n">
        <v>1.78</v>
      </c>
      <c r="I304" s="33" t="n">
        <v>37</v>
      </c>
      <c r="J304" s="34" t="n">
        <v>46288.95763888889</v>
      </c>
      <c r="K304" s="57" t="str">
        <v>未显示收录</v>
      </c>
      <c r="L304" s="59" t="str">
        <v>查看港服</v>
      </c>
      <c r="M304" s="63" t="str"/>
    </row>
    <row r="305" ht="36" customHeight="1">
      <c r="A305" s="56" t="n">
        <v>298</v>
      </c>
      <c r="B305" s="46" t="str">
        <v>Real Heroes: Firefighter HD</v>
      </c>
      <c r="C305" s="58" t="str">
        <v>PS5</v>
      </c>
      <c r="D305" s="48" t="n">
        <f>ROUND(E305*$B$4,2)</f>
        <v>32.35</v>
      </c>
      <c r="E305" s="49" t="n">
        <v>37.8</v>
      </c>
      <c r="F305" s="50" t="n">
        <v>0.65</v>
      </c>
      <c r="G305" s="58" t="str">
        <v>未列中文</v>
      </c>
      <c r="H305" s="49" t="n">
        <v>3.73</v>
      </c>
      <c r="I305" s="51" t="n">
        <v>37</v>
      </c>
      <c r="J305" s="52" t="n">
        <v>46288.95763888889</v>
      </c>
      <c r="K305" s="58" t="str">
        <v>未显示收录</v>
      </c>
      <c r="L305" s="60" t="str">
        <v>查看港服</v>
      </c>
      <c r="M305" s="64" t="str"/>
    </row>
    <row r="306" ht="36" customHeight="1">
      <c r="A306" s="55" t="n">
        <v>299</v>
      </c>
      <c r="B306" s="28" t="str">
        <v>US Navy Sea Conflict</v>
      </c>
      <c r="C306" s="57" t="str">
        <v>PS4</v>
      </c>
      <c r="D306" s="30" t="n">
        <f>ROUND(E306*$B$4,2)</f>
        <v>22.76</v>
      </c>
      <c r="E306" s="31" t="n">
        <v>26.6</v>
      </c>
      <c r="F306" s="32" t="n">
        <v>0.3</v>
      </c>
      <c r="G306" s="57" t="str">
        <v>未列中文</v>
      </c>
      <c r="H306" s="31" t="n">
        <v>1.97</v>
      </c>
      <c r="I306" s="33" t="n">
        <v>37</v>
      </c>
      <c r="J306" s="34" t="n">
        <v>46288.95763888889</v>
      </c>
      <c r="K306" s="57" t="str">
        <v>未显示收录</v>
      </c>
      <c r="L306" s="59" t="str">
        <v>查看港服</v>
      </c>
      <c r="M306" s="63" t="str">
        <v>表列普通折扣价；PS Plus或有额外折扣</v>
      </c>
    </row>
    <row r="307" ht="36" customHeight="1">
      <c r="A307" s="56" t="n">
        <v>300</v>
      </c>
      <c r="B307" s="46" t="str">
        <v>Air Sea Modern Conflict</v>
      </c>
      <c r="C307" s="58" t="str">
        <v>PS5</v>
      </c>
      <c r="D307" s="48" t="n">
        <f>ROUND(E307*$B$4,2)</f>
        <v>46.72</v>
      </c>
      <c r="E307" s="49" t="n">
        <v>54.6</v>
      </c>
      <c r="F307" s="50" t="n">
        <v>0.3</v>
      </c>
      <c r="G307" s="58" t="str">
        <v>未列中文</v>
      </c>
      <c r="H307" s="49" t="n">
        <v>2.39</v>
      </c>
      <c r="I307" s="51" t="n">
        <v>36</v>
      </c>
      <c r="J307" s="52" t="n">
        <v>46288.95763888889</v>
      </c>
      <c r="K307" s="58" t="str">
        <v>未显示收录</v>
      </c>
      <c r="L307" s="60" t="str">
        <v>查看港服</v>
      </c>
      <c r="M307" s="64" t="str">
        <v>表列普通折扣价；PS Plus或有额外折扣</v>
      </c>
    </row>
    <row r="308" ht="36" customHeight="1">
      <c r="A308" s="55" t="n">
        <v>301</v>
      </c>
      <c r="B308" s="28" t="str">
        <v>光之回響：平衡之子</v>
      </c>
      <c r="C308" s="57" t="str">
        <v>PS5</v>
      </c>
      <c r="D308" s="30" t="n">
        <f>ROUND(E308*$B$4,2)</f>
        <v>50.06</v>
      </c>
      <c r="E308" s="31" t="n">
        <v>58.5</v>
      </c>
      <c r="F308" s="32" t="n">
        <v>0.25</v>
      </c>
      <c r="G308" s="57" t="str">
        <v>未列中文</v>
      </c>
      <c r="H308" s="31" t="n">
        <v>2.11</v>
      </c>
      <c r="I308" s="33" t="n">
        <v>36</v>
      </c>
      <c r="J308" s="34" t="n">
        <v>46288.95763888889</v>
      </c>
      <c r="K308" s="57" t="str">
        <v>未显示收录</v>
      </c>
      <c r="L308" s="59" t="str">
        <v>查看港服</v>
      </c>
      <c r="M308" s="63" t="str">
        <v>表列普通折扣价；PS Plus或有额外折扣</v>
      </c>
    </row>
    <row r="309" ht="36" customHeight="1">
      <c r="A309" s="56" t="n">
        <v>302</v>
      </c>
      <c r="B309" s="46" t="str">
        <v>Monkey Kong in New-York</v>
      </c>
      <c r="C309" s="58" t="str">
        <v>PS4</v>
      </c>
      <c r="D309" s="48" t="n">
        <f>ROUND(E309*$B$4,2)</f>
        <v>22.76</v>
      </c>
      <c r="E309" s="49" t="n">
        <v>26.6</v>
      </c>
      <c r="F309" s="50" t="n">
        <v>0.3</v>
      </c>
      <c r="G309" s="58" t="str">
        <v>未列中文</v>
      </c>
      <c r="H309" s="49" t="n">
        <v>2.43</v>
      </c>
      <c r="I309" s="51" t="n">
        <v>35</v>
      </c>
      <c r="J309" s="52" t="n">
        <v>46288.95763888889</v>
      </c>
      <c r="K309" s="58" t="str">
        <v>未显示收录</v>
      </c>
      <c r="L309" s="60" t="str">
        <v>查看港服</v>
      </c>
      <c r="M309" s="64" t="str">
        <v>表列普通折扣价；PS Plus或有额外折扣</v>
      </c>
    </row>
    <row r="310" ht="36" customHeight="1">
      <c r="A310" s="55" t="n">
        <v>303</v>
      </c>
      <c r="B310" s="28" t="str">
        <v>Neodarlo</v>
      </c>
      <c r="C310" s="57" t="str">
        <v>PS4</v>
      </c>
      <c r="D310" s="30" t="n">
        <f>ROUND(E310*$B$4,2)</f>
        <v>3.85</v>
      </c>
      <c r="E310" s="31" t="n">
        <v>4.5</v>
      </c>
      <c r="F310" s="32" t="n">
        <v>0.5</v>
      </c>
      <c r="G310" s="57" t="str">
        <v>未列中文</v>
      </c>
      <c r="H310" s="31" t="n">
        <v>2.94</v>
      </c>
      <c r="I310" s="33" t="n">
        <v>35</v>
      </c>
      <c r="J310" s="34" t="n">
        <v>46288.95763888889</v>
      </c>
      <c r="K310" s="57" t="str">
        <v>未显示收录</v>
      </c>
      <c r="L310" s="59" t="str">
        <v>查看港服</v>
      </c>
      <c r="M310" s="63" t="str"/>
    </row>
    <row r="311" ht="36" customHeight="1">
      <c r="A311" s="56" t="n">
        <v>304</v>
      </c>
      <c r="B311" s="46" t="str">
        <v>Legends: Saint George</v>
      </c>
      <c r="C311" s="58" t="str">
        <v>PS5</v>
      </c>
      <c r="D311" s="48" t="n">
        <f>ROUND(E311*$B$4,2)</f>
        <v>6.5</v>
      </c>
      <c r="E311" s="49" t="n">
        <v>7.6</v>
      </c>
      <c r="F311" s="50" t="n">
        <v>0.8</v>
      </c>
      <c r="G311" s="58" t="str">
        <v>简繁中文</v>
      </c>
      <c r="H311" s="49" t="n">
        <v>4.03</v>
      </c>
      <c r="I311" s="51" t="n">
        <v>34</v>
      </c>
      <c r="J311" s="52" t="n">
        <v>46288.95763888889</v>
      </c>
      <c r="K311" s="58" t="str">
        <v>未显示收录</v>
      </c>
      <c r="L311" s="60" t="str">
        <v>查看港服</v>
      </c>
      <c r="M311" s="64" t="str">
        <v>表列普通折扣价；PS Plus或有额外折扣</v>
      </c>
    </row>
    <row r="312" ht="36" customHeight="1">
      <c r="A312" s="55" t="n">
        <v>305</v>
      </c>
      <c r="B312" s="28" t="str">
        <v>The Fissure PS4 &amp; PS5</v>
      </c>
      <c r="C312" s="57" t="str">
        <v>PS4 / PS5</v>
      </c>
      <c r="D312" s="30" t="n">
        <f>ROUND(E312*$B$4,2)</f>
        <v>22.76</v>
      </c>
      <c r="E312" s="31" t="n">
        <v>26.6</v>
      </c>
      <c r="F312" s="32" t="n">
        <v>0.3</v>
      </c>
      <c r="G312" s="57" t="str">
        <v>未列中文</v>
      </c>
      <c r="H312" s="31" t="n">
        <v>2.82</v>
      </c>
      <c r="I312" s="33" t="n">
        <v>33</v>
      </c>
      <c r="J312" s="34" t="n">
        <v>46288.95763888889</v>
      </c>
      <c r="K312" s="57" t="str">
        <v>未显示收录</v>
      </c>
      <c r="L312" s="59" t="str">
        <v>查看港服</v>
      </c>
      <c r="M312" s="63" t="str"/>
    </row>
    <row r="313" ht="36" customHeight="1">
      <c r="A313" s="56" t="n">
        <v>306</v>
      </c>
      <c r="B313" s="46" t="str">
        <v>Offroad Rally Racing</v>
      </c>
      <c r="C313" s="58" t="str">
        <v>PS4</v>
      </c>
      <c r="D313" s="48" t="n">
        <f>ROUND(E313*$B$4,2)</f>
        <v>22.76</v>
      </c>
      <c r="E313" s="49" t="n">
        <v>26.6</v>
      </c>
      <c r="F313" s="50" t="n">
        <v>0.3</v>
      </c>
      <c r="G313" s="58" t="str">
        <v>未列中文</v>
      </c>
      <c r="H313" s="49" t="n">
        <v>1.97</v>
      </c>
      <c r="I313" s="51" t="n">
        <v>32</v>
      </c>
      <c r="J313" s="52" t="n">
        <v>46288.95763888889</v>
      </c>
      <c r="K313" s="58" t="str">
        <v>未显示收录</v>
      </c>
      <c r="L313" s="60" t="str">
        <v>查看港服</v>
      </c>
      <c r="M313" s="64" t="str">
        <v>表列普通折扣价；PS Plus或有额外折扣</v>
      </c>
    </row>
    <row r="314" ht="36" customHeight="1">
      <c r="A314" s="55" t="n">
        <v>307</v>
      </c>
      <c r="B314" s="28" t="str">
        <v>Top Gun Air Combat Extended</v>
      </c>
      <c r="C314" s="57" t="str">
        <v>PS5</v>
      </c>
      <c r="D314" s="30" t="n">
        <f>ROUND(E314*$B$4,2)</f>
        <v>64.69</v>
      </c>
      <c r="E314" s="31" t="n">
        <v>75.6</v>
      </c>
      <c r="F314" s="32" t="n">
        <v>0.3</v>
      </c>
      <c r="G314" s="57" t="str">
        <v>未列中文</v>
      </c>
      <c r="H314" s="31" t="n">
        <v>1.41</v>
      </c>
      <c r="I314" s="33" t="n">
        <v>32</v>
      </c>
      <c r="J314" s="34" t="n">
        <v>46288.95763888889</v>
      </c>
      <c r="K314" s="57" t="str">
        <v>未显示收录</v>
      </c>
      <c r="L314" s="59" t="str">
        <v>查看港服</v>
      </c>
      <c r="M314" s="63" t="str">
        <v>表列普通折扣价；PS Plus或有额外折扣</v>
      </c>
    </row>
    <row r="315" ht="36" customHeight="1">
      <c r="A315" s="56" t="n">
        <v>308</v>
      </c>
      <c r="B315" s="46" t="str">
        <v>3 on 3 Soccer</v>
      </c>
      <c r="C315" s="58" t="str">
        <v>PS5</v>
      </c>
      <c r="D315" s="48" t="n">
        <f>ROUND(E315*$B$4,2)</f>
        <v>10.78</v>
      </c>
      <c r="E315" s="49" t="n">
        <v>12.6</v>
      </c>
      <c r="F315" s="50" t="n">
        <v>0.3</v>
      </c>
      <c r="G315" s="58" t="str">
        <v>未列中文</v>
      </c>
      <c r="H315" s="49" t="n">
        <v>1.65</v>
      </c>
      <c r="I315" s="51" t="n">
        <v>31</v>
      </c>
      <c r="J315" s="52" t="n">
        <v>46288.95763888889</v>
      </c>
      <c r="K315" s="58" t="str">
        <v>未显示收录</v>
      </c>
      <c r="L315" s="60" t="str">
        <v>查看港服</v>
      </c>
      <c r="M315" s="64" t="str">
        <v>表列普通折扣价；PS Plus或有额外折扣</v>
      </c>
    </row>
    <row r="316" ht="36" customHeight="1">
      <c r="A316" s="55" t="n">
        <v>309</v>
      </c>
      <c r="B316" s="28" t="str">
        <v>Survivor Mercs</v>
      </c>
      <c r="C316" s="57" t="str">
        <v>PS5</v>
      </c>
      <c r="D316" s="30" t="n">
        <f>ROUND(E316*$B$4,2)</f>
        <v>33.37</v>
      </c>
      <c r="E316" s="31" t="n">
        <v>39</v>
      </c>
      <c r="F316" s="32" t="n">
        <v>0.5</v>
      </c>
      <c r="G316" s="57" t="str">
        <v>简繁中文</v>
      </c>
      <c r="H316" s="31" t="n">
        <v>3.74</v>
      </c>
      <c r="I316" s="33" t="n">
        <v>31</v>
      </c>
      <c r="J316" s="34" t="n">
        <v>46288.95763888889</v>
      </c>
      <c r="K316" s="57" t="str">
        <v>未显示收录</v>
      </c>
      <c r="L316" s="59" t="str">
        <v>查看港服</v>
      </c>
      <c r="M316" s="63" t="str"/>
    </row>
    <row r="317" ht="36" customHeight="1">
      <c r="A317" s="56" t="n">
        <v>310</v>
      </c>
      <c r="B317" s="46" t="str">
        <v>Zombie Apocalypse</v>
      </c>
      <c r="C317" s="58" t="str">
        <v>PS4</v>
      </c>
      <c r="D317" s="48" t="n">
        <f>ROUND(E317*$B$4,2)</f>
        <v>22.76</v>
      </c>
      <c r="E317" s="49" t="n">
        <v>26.6</v>
      </c>
      <c r="F317" s="50" t="n">
        <v>0.3</v>
      </c>
      <c r="G317" s="58" t="str">
        <v>未列中文</v>
      </c>
      <c r="H317" s="49" t="n">
        <v>2.61</v>
      </c>
      <c r="I317" s="51" t="n">
        <v>31</v>
      </c>
      <c r="J317" s="52" t="n">
        <v>46288.95763888889</v>
      </c>
      <c r="K317" s="58" t="str">
        <v>未显示收录</v>
      </c>
      <c r="L317" s="60" t="str">
        <v>查看港服</v>
      </c>
      <c r="M317" s="64" t="str">
        <v>表列普通折扣价；PS Plus或有额外折扣</v>
      </c>
    </row>
    <row r="318" ht="36" customHeight="1">
      <c r="A318" s="55" t="n">
        <v>311</v>
      </c>
      <c r="B318" s="28" t="str">
        <v>Junkster</v>
      </c>
      <c r="C318" s="57" t="str">
        <v>PS5</v>
      </c>
      <c r="D318" s="30" t="n">
        <f>ROUND(E318*$B$4,2)</f>
        <v>53.4</v>
      </c>
      <c r="E318" s="31" t="n">
        <v>62.4</v>
      </c>
      <c r="F318" s="32" t="n">
        <v>0.2</v>
      </c>
      <c r="G318" s="57" t="str">
        <v>简繁中文</v>
      </c>
      <c r="H318" s="31" t="n">
        <v>4.9</v>
      </c>
      <c r="I318" s="33" t="n">
        <v>30</v>
      </c>
      <c r="J318" s="34" t="n">
        <v>46288.95763888889</v>
      </c>
      <c r="K318" s="57" t="str">
        <v>未显示收录</v>
      </c>
      <c r="L318" s="59" t="str">
        <v>查看港服</v>
      </c>
      <c r="M318" s="63" t="str"/>
    </row>
    <row r="319" ht="36" customHeight="1">
      <c r="A319" s="56" t="n">
        <v>312</v>
      </c>
      <c r="B319" s="46" t="str">
        <v>Command Under Fire RTS</v>
      </c>
      <c r="C319" s="58" t="str">
        <v>PS5</v>
      </c>
      <c r="D319" s="48" t="n">
        <f>ROUND(E319*$B$4,2)</f>
        <v>46.72</v>
      </c>
      <c r="E319" s="49" t="n">
        <v>54.6</v>
      </c>
      <c r="F319" s="50" t="n">
        <v>0.3</v>
      </c>
      <c r="G319" s="58" t="str">
        <v>未列中文</v>
      </c>
      <c r="H319" s="49" t="n">
        <v>1.21</v>
      </c>
      <c r="I319" s="51" t="n">
        <v>29</v>
      </c>
      <c r="J319" s="52" t="n">
        <v>46288.95763888889</v>
      </c>
      <c r="K319" s="58" t="str">
        <v>未显示收录</v>
      </c>
      <c r="L319" s="60" t="str">
        <v>查看港服</v>
      </c>
      <c r="M319" s="64" t="str">
        <v>表列普通折扣价；PS Plus或有额外折扣</v>
      </c>
    </row>
    <row r="320" ht="36" customHeight="1">
      <c r="A320" s="55" t="n">
        <v>313</v>
      </c>
      <c r="B320" s="28" t="str">
        <v>Carom Billiards</v>
      </c>
      <c r="C320" s="57" t="str">
        <v>PS5</v>
      </c>
      <c r="D320" s="30" t="n">
        <f>ROUND(E320*$B$4,2)</f>
        <v>46.72</v>
      </c>
      <c r="E320" s="31" t="n">
        <v>54.6</v>
      </c>
      <c r="F320" s="32" t="n">
        <v>0.3</v>
      </c>
      <c r="G320" s="57" t="str">
        <v>未列中文</v>
      </c>
      <c r="H320" s="31" t="n">
        <v>2.1</v>
      </c>
      <c r="I320" s="33" t="n">
        <v>29</v>
      </c>
      <c r="J320" s="34" t="n">
        <v>46288.95763888889</v>
      </c>
      <c r="K320" s="57" t="str">
        <v>未显示收录</v>
      </c>
      <c r="L320" s="59" t="str">
        <v>查看港服</v>
      </c>
      <c r="M320" s="63" t="str">
        <v>表列普通折扣价；PS Plus或有额外折扣</v>
      </c>
    </row>
    <row r="321" ht="36" customHeight="1">
      <c r="A321" s="56" t="n">
        <v>314</v>
      </c>
      <c r="B321" s="46" t="str">
        <v>Monterey Jack</v>
      </c>
      <c r="C321" s="58" t="str">
        <v>PS5</v>
      </c>
      <c r="D321" s="48" t="n">
        <f>ROUND(E321*$B$4,2)</f>
        <v>64.69</v>
      </c>
      <c r="E321" s="49" t="n">
        <v>75.6</v>
      </c>
      <c r="F321" s="50" t="n">
        <v>0.3</v>
      </c>
      <c r="G321" s="58" t="str">
        <v>简体中文</v>
      </c>
      <c r="H321" s="49" t="n">
        <v>4.14</v>
      </c>
      <c r="I321" s="51" t="n">
        <v>29</v>
      </c>
      <c r="J321" s="52" t="n">
        <v>46288.95763888889</v>
      </c>
      <c r="K321" s="58" t="str">
        <v>未显示收录</v>
      </c>
      <c r="L321" s="60" t="str">
        <v>查看港服</v>
      </c>
      <c r="M321" s="64" t="str">
        <v>表列普通折扣价；PS Plus或有额外折扣</v>
      </c>
    </row>
    <row r="322" ht="36" customHeight="1">
      <c r="A322" s="55" t="n">
        <v>315</v>
      </c>
      <c r="B322" s="28" t="str">
        <v>World Soccer Cup 2022</v>
      </c>
      <c r="C322" s="57" t="str">
        <v>PS4</v>
      </c>
      <c r="D322" s="30" t="n">
        <f>ROUND(E322*$B$4,2)</f>
        <v>22.76</v>
      </c>
      <c r="E322" s="31" t="n">
        <v>26.6</v>
      </c>
      <c r="F322" s="32" t="n">
        <v>0.3</v>
      </c>
      <c r="G322" s="57" t="str">
        <v>未列中文</v>
      </c>
      <c r="H322" s="31" t="n">
        <v>3.07</v>
      </c>
      <c r="I322" s="33" t="n">
        <v>29</v>
      </c>
      <c r="J322" s="34" t="n">
        <v>46288.95763888889</v>
      </c>
      <c r="K322" s="57" t="str">
        <v>未显示收录</v>
      </c>
      <c r="L322" s="59" t="str">
        <v>查看港服</v>
      </c>
      <c r="M322" s="63" t="str">
        <v>表列普通折扣价；PS Plus或有额外折扣</v>
      </c>
    </row>
    <row r="323" ht="36" customHeight="1">
      <c r="A323" s="56" t="n">
        <v>316</v>
      </c>
      <c r="B323" s="46" t="str">
        <v>Blast'N Bounty PS4 &amp; PS5</v>
      </c>
      <c r="C323" s="58" t="str">
        <v>PS4 / PS5</v>
      </c>
      <c r="D323" s="48" t="n">
        <f>ROUND(E323*$B$4,2)</f>
        <v>22.76</v>
      </c>
      <c r="E323" s="49" t="n">
        <v>26.6</v>
      </c>
      <c r="F323" s="50" t="n">
        <v>0.3</v>
      </c>
      <c r="G323" s="58" t="str">
        <v>简繁中文</v>
      </c>
      <c r="H323" s="49" t="n">
        <v>3.86</v>
      </c>
      <c r="I323" s="51" t="n">
        <v>28</v>
      </c>
      <c r="J323" s="52" t="n">
        <v>46288.95763888889</v>
      </c>
      <c r="K323" s="58" t="str">
        <v>未显示收录</v>
      </c>
      <c r="L323" s="60" t="str">
        <v>查看港服</v>
      </c>
      <c r="M323" s="64" t="str"/>
    </row>
    <row r="324" ht="36" customHeight="1">
      <c r="A324" s="55" t="n">
        <v>317</v>
      </c>
      <c r="B324" s="28" t="str">
        <v>Construction Sim: City and Road Builder</v>
      </c>
      <c r="C324" s="57" t="str">
        <v>PS4</v>
      </c>
      <c r="D324" s="30" t="n">
        <f>ROUND(E324*$B$4,2)</f>
        <v>50.83</v>
      </c>
      <c r="E324" s="31" t="n">
        <v>59.4</v>
      </c>
      <c r="F324" s="32" t="n">
        <v>0.45</v>
      </c>
      <c r="G324" s="57" t="str">
        <v>未列中文</v>
      </c>
      <c r="H324" s="31" t="n">
        <v>1.96</v>
      </c>
      <c r="I324" s="33" t="n">
        <v>28</v>
      </c>
      <c r="J324" s="34" t="n">
        <v>46288.95763888889</v>
      </c>
      <c r="K324" s="57" t="str">
        <v>未显示收录</v>
      </c>
      <c r="L324" s="59" t="str">
        <v>查看港服</v>
      </c>
      <c r="M324" s="63" t="str">
        <v>表列普通折扣价；PS Plus或有额外折扣</v>
      </c>
    </row>
    <row r="325" ht="36" customHeight="1">
      <c r="A325" s="56" t="n">
        <v>318</v>
      </c>
      <c r="B325" s="46" t="str">
        <v>Toons Kart</v>
      </c>
      <c r="C325" s="58" t="str">
        <v>PS4</v>
      </c>
      <c r="D325" s="48" t="n">
        <f>ROUND(E325*$B$4,2)</f>
        <v>22.76</v>
      </c>
      <c r="E325" s="49" t="n">
        <v>26.6</v>
      </c>
      <c r="F325" s="50" t="n">
        <v>0.3</v>
      </c>
      <c r="G325" s="58" t="str">
        <v>未列中文</v>
      </c>
      <c r="H325" s="49" t="n">
        <v>1.43</v>
      </c>
      <c r="I325" s="51" t="n">
        <v>28</v>
      </c>
      <c r="J325" s="52" t="n">
        <v>46288.95763888889</v>
      </c>
      <c r="K325" s="58" t="str">
        <v>未显示收录</v>
      </c>
      <c r="L325" s="60" t="str">
        <v>查看港服</v>
      </c>
      <c r="M325" s="64" t="str">
        <v>表列普通折扣价；PS Plus或有额外折扣</v>
      </c>
    </row>
    <row r="326" ht="36" customHeight="1">
      <c r="A326" s="55" t="n">
        <v>319</v>
      </c>
      <c r="B326" s="28" t="str">
        <v>Fruits Slot Machine</v>
      </c>
      <c r="C326" s="57" t="str">
        <v>PS5</v>
      </c>
      <c r="D326" s="30" t="n">
        <f>ROUND(E326*$B$4,2)</f>
        <v>22.76</v>
      </c>
      <c r="E326" s="31" t="n">
        <v>26.6</v>
      </c>
      <c r="F326" s="32" t="n">
        <v>0.3</v>
      </c>
      <c r="G326" s="57" t="str">
        <v>未列中文</v>
      </c>
      <c r="H326" s="31" t="n">
        <v>2.15</v>
      </c>
      <c r="I326" s="33" t="n">
        <v>27</v>
      </c>
      <c r="J326" s="34" t="n">
        <v>46288.95763888889</v>
      </c>
      <c r="K326" s="57" t="str">
        <v>未显示收录</v>
      </c>
      <c r="L326" s="59" t="str">
        <v>查看港服</v>
      </c>
      <c r="M326" s="63" t="str">
        <v>表列普通折扣价；PS Plus或有额外折扣</v>
      </c>
    </row>
    <row r="327" ht="36" customHeight="1">
      <c r="A327" s="56" t="n">
        <v>320</v>
      </c>
      <c r="B327" s="46" t="str">
        <v>Our Burial Dolls Remastered PS4 &amp; PS5</v>
      </c>
      <c r="C327" s="58" t="str">
        <v>PS4 / PS5</v>
      </c>
      <c r="D327" s="48" t="n">
        <f>ROUND(E327*$B$4,2)</f>
        <v>26.01</v>
      </c>
      <c r="E327" s="49" t="n">
        <v>30.4</v>
      </c>
      <c r="F327" s="50" t="n">
        <v>0.2</v>
      </c>
      <c r="G327" s="58" t="str">
        <v>未列中文</v>
      </c>
      <c r="H327" s="49" t="n">
        <v>3.38</v>
      </c>
      <c r="I327" s="51" t="n">
        <v>26</v>
      </c>
      <c r="J327" s="52" t="n">
        <v>46288.95763888889</v>
      </c>
      <c r="K327" s="58" t="str">
        <v>未显示收录</v>
      </c>
      <c r="L327" s="60" t="str">
        <v>查看港服</v>
      </c>
      <c r="M327" s="64" t="str"/>
    </row>
    <row r="328" ht="36" customHeight="1">
      <c r="A328" s="55" t="n">
        <v>321</v>
      </c>
      <c r="B328" s="28" t="str">
        <v>Him &amp; Her Collection</v>
      </c>
      <c r="C328" s="57" t="str">
        <v>PS4</v>
      </c>
      <c r="D328" s="30" t="n">
        <f>ROUND(E328*$B$4,2)</f>
        <v>24.39</v>
      </c>
      <c r="E328" s="31" t="n">
        <v>28.5</v>
      </c>
      <c r="F328" s="32" t="n">
        <v>0.25</v>
      </c>
      <c r="G328" s="57" t="str">
        <v>未列中文</v>
      </c>
      <c r="H328" s="31" t="n">
        <v>3.12</v>
      </c>
      <c r="I328" s="33" t="n">
        <v>26</v>
      </c>
      <c r="J328" s="34" t="n">
        <v>46288.95763888889</v>
      </c>
      <c r="K328" s="57" t="str">
        <v>未显示收录</v>
      </c>
      <c r="L328" s="59" t="str">
        <v>查看港服</v>
      </c>
      <c r="M328" s="63" t="str"/>
    </row>
    <row r="329" ht="36" customHeight="1">
      <c r="A329" s="56" t="n">
        <v>322</v>
      </c>
      <c r="B329" s="46" t="str">
        <v>Bunny Cubed PS4 &amp; PS5</v>
      </c>
      <c r="C329" s="58" t="str">
        <v>PS4 / PS5</v>
      </c>
      <c r="D329" s="48" t="n">
        <f>ROUND(E329*$B$4,2)</f>
        <v>16.26</v>
      </c>
      <c r="E329" s="49" t="n">
        <v>19</v>
      </c>
      <c r="F329" s="50" t="n">
        <v>0.5</v>
      </c>
      <c r="G329" s="58" t="str">
        <v>简繁中文</v>
      </c>
      <c r="H329" s="49" t="n">
        <v>4.4</v>
      </c>
      <c r="I329" s="51" t="n">
        <v>25</v>
      </c>
      <c r="J329" s="52" t="n">
        <v>46288.95763888889</v>
      </c>
      <c r="K329" s="58" t="str">
        <v>未显示收录</v>
      </c>
      <c r="L329" s="60" t="str">
        <v>查看港服</v>
      </c>
      <c r="M329" s="64" t="str"/>
    </row>
    <row r="330" ht="36" customHeight="1">
      <c r="A330" s="55" t="n">
        <v>323</v>
      </c>
      <c r="B330" s="28" t="str">
        <v>Gladmort</v>
      </c>
      <c r="C330" s="57" t="str">
        <v>PS4</v>
      </c>
      <c r="D330" s="30" t="n">
        <f>ROUND(E330*$B$4,2)</f>
        <v>46.21</v>
      </c>
      <c r="E330" s="31" t="n">
        <v>54</v>
      </c>
      <c r="F330" s="32" t="n">
        <v>0.5</v>
      </c>
      <c r="G330" s="57" t="str">
        <v>未列中文</v>
      </c>
      <c r="H330" s="31" t="n">
        <v>3.76</v>
      </c>
      <c r="I330" s="33" t="n">
        <v>25</v>
      </c>
      <c r="J330" s="34" t="n">
        <v>46288.95763888889</v>
      </c>
      <c r="K330" s="57" t="str">
        <v>未显示收录</v>
      </c>
      <c r="L330" s="59" t="str">
        <v>查看港服</v>
      </c>
      <c r="M330" s="63" t="str">
        <v>表列普通折扣价；PS Plus或有额外折扣</v>
      </c>
    </row>
    <row r="331" ht="36" customHeight="1">
      <c r="A331" s="56" t="n">
        <v>324</v>
      </c>
      <c r="B331" s="46" t="str">
        <v>Maxi Trucks Racing</v>
      </c>
      <c r="C331" s="58" t="str">
        <v>PS4</v>
      </c>
      <c r="D331" s="48" t="n">
        <f>ROUND(E331*$B$4,2)</f>
        <v>46.72</v>
      </c>
      <c r="E331" s="49" t="n">
        <v>54.6</v>
      </c>
      <c r="F331" s="50" t="n">
        <v>0.3</v>
      </c>
      <c r="G331" s="58" t="str">
        <v>未列中文</v>
      </c>
      <c r="H331" s="49" t="n">
        <v>1.96</v>
      </c>
      <c r="I331" s="51" t="n">
        <v>25</v>
      </c>
      <c r="J331" s="52" t="n">
        <v>46288.95763888889</v>
      </c>
      <c r="K331" s="58" t="str">
        <v>未显示收录</v>
      </c>
      <c r="L331" s="60" t="str">
        <v>查看港服</v>
      </c>
      <c r="M331" s="64" t="str">
        <v>表列普通折扣价；PS Plus或有额外折扣</v>
      </c>
    </row>
    <row r="332" ht="36" customHeight="1">
      <c r="A332" s="55" t="n">
        <v>325</v>
      </c>
      <c r="B332" s="28" t="str">
        <v>Neural Requiem</v>
      </c>
      <c r="C332" s="57" t="str">
        <v>PS5</v>
      </c>
      <c r="D332" s="30" t="n">
        <f>ROUND(E332*$B$4,2)</f>
        <v>69.31</v>
      </c>
      <c r="E332" s="31" t="n">
        <v>81</v>
      </c>
      <c r="F332" s="32" t="n">
        <v>0.25</v>
      </c>
      <c r="G332" s="57" t="str">
        <v>未列中文</v>
      </c>
      <c r="H332" s="31" t="n">
        <v>2.12</v>
      </c>
      <c r="I332" s="33" t="n">
        <v>25</v>
      </c>
      <c r="J332" s="34" t="n">
        <v>46288.95763888889</v>
      </c>
      <c r="K332" s="57" t="str">
        <v>未显示收录</v>
      </c>
      <c r="L332" s="59" t="str">
        <v>查看港服</v>
      </c>
      <c r="M332" s="63" t="str">
        <v>表列普通折扣价；PS Plus或有额外折扣</v>
      </c>
    </row>
    <row r="333" ht="36" customHeight="1">
      <c r="A333" s="56" t="n">
        <v>326</v>
      </c>
      <c r="B333" s="46" t="str">
        <v>R-TYPE DX: Music Encore</v>
      </c>
      <c r="C333" s="58" t="str">
        <v>PS4</v>
      </c>
      <c r="D333" s="48" t="n">
        <f>ROUND(E333*$B$4,2)</f>
        <v>73.93</v>
      </c>
      <c r="E333" s="49" t="n">
        <v>86.4</v>
      </c>
      <c r="F333" s="50" t="n">
        <v>0.2</v>
      </c>
      <c r="G333" s="58" t="str">
        <v>简繁中文</v>
      </c>
      <c r="H333" s="49" t="n">
        <v>4.24</v>
      </c>
      <c r="I333" s="51" t="n">
        <v>25</v>
      </c>
      <c r="J333" s="52" t="n">
        <v>46288.95763888889</v>
      </c>
      <c r="K333" s="58" t="str">
        <v>未显示收录</v>
      </c>
      <c r="L333" s="60" t="str">
        <v>查看港服</v>
      </c>
      <c r="M333" s="64" t="str"/>
    </row>
    <row r="334" ht="36" customHeight="1">
      <c r="A334" s="55" t="n">
        <v>327</v>
      </c>
      <c r="B334" s="28" t="str">
        <v>帕灣：暖心流浪貓</v>
      </c>
      <c r="C334" s="57" t="str">
        <v>PS4 / PS5</v>
      </c>
      <c r="D334" s="30" t="n">
        <f>ROUND(E334*$B$4,2)</f>
        <v>37.99</v>
      </c>
      <c r="E334" s="31" t="n">
        <v>44.4</v>
      </c>
      <c r="F334" s="32" t="n">
        <v>0.7</v>
      </c>
      <c r="G334" s="57" t="str">
        <v>简繁中文</v>
      </c>
      <c r="H334" s="31" t="n">
        <v>3.65</v>
      </c>
      <c r="I334" s="33" t="n">
        <v>23</v>
      </c>
      <c r="J334" s="34" t="n">
        <v>46288.95763888889</v>
      </c>
      <c r="K334" s="57" t="str">
        <v>未显示收录</v>
      </c>
      <c r="L334" s="59" t="str">
        <v>查看港服</v>
      </c>
      <c r="M334" s="63" t="str"/>
    </row>
    <row r="335" ht="36" customHeight="1">
      <c r="A335" s="56" t="n">
        <v>328</v>
      </c>
      <c r="B335" s="46" t="str">
        <v>Bubble Bubble Ocean</v>
      </c>
      <c r="C335" s="58" t="str">
        <v>PS4</v>
      </c>
      <c r="D335" s="48" t="n">
        <f>ROUND(E335*$B$4,2)</f>
        <v>22.76</v>
      </c>
      <c r="E335" s="49" t="n">
        <v>26.6</v>
      </c>
      <c r="F335" s="50" t="n">
        <v>0.3</v>
      </c>
      <c r="G335" s="58" t="str">
        <v>未列中文</v>
      </c>
      <c r="H335" s="49" t="n">
        <v>3.04</v>
      </c>
      <c r="I335" s="51" t="n">
        <v>23</v>
      </c>
      <c r="J335" s="52" t="n">
        <v>46288.95763888889</v>
      </c>
      <c r="K335" s="58" t="str">
        <v>未显示收录</v>
      </c>
      <c r="L335" s="60" t="str">
        <v>查看港服</v>
      </c>
      <c r="M335" s="64" t="str">
        <v>表列普通折扣价；PS Plus或有额外折扣</v>
      </c>
    </row>
    <row r="336" ht="36" customHeight="1">
      <c r="A336" s="55" t="n">
        <v>329</v>
      </c>
      <c r="B336" s="28" t="str">
        <v>Top Gun Global War</v>
      </c>
      <c r="C336" s="57" t="str">
        <v>PS4</v>
      </c>
      <c r="D336" s="30" t="n">
        <f>ROUND(E336*$B$4,2)</f>
        <v>88.65</v>
      </c>
      <c r="E336" s="31" t="n">
        <v>103.6</v>
      </c>
      <c r="F336" s="32" t="n">
        <v>0.3</v>
      </c>
      <c r="G336" s="57" t="str">
        <v>未列中文</v>
      </c>
      <c r="H336" s="31" t="n">
        <v>1.87</v>
      </c>
      <c r="I336" s="33" t="n">
        <v>23</v>
      </c>
      <c r="J336" s="34" t="n">
        <v>46288.95763888889</v>
      </c>
      <c r="K336" s="57" t="str">
        <v>未显示收录</v>
      </c>
      <c r="L336" s="59" t="str">
        <v>查看港服</v>
      </c>
      <c r="M336" s="63" t="str">
        <v>表列普通折扣价；PS Plus或有额外折扣</v>
      </c>
    </row>
    <row r="337" ht="36" customHeight="1">
      <c r="A337" s="56" t="n">
        <v>330</v>
      </c>
      <c r="B337" s="46" t="str">
        <v>Carnage Battle Arena</v>
      </c>
      <c r="C337" s="58" t="str">
        <v>PS5</v>
      </c>
      <c r="D337" s="48" t="n">
        <f>ROUND(E337*$B$4,2)</f>
        <v>46.72</v>
      </c>
      <c r="E337" s="49" t="n">
        <v>54.6</v>
      </c>
      <c r="F337" s="50" t="n">
        <v>0.3</v>
      </c>
      <c r="G337" s="58" t="str">
        <v>未列中文</v>
      </c>
      <c r="H337" s="49" t="n">
        <v>3.91</v>
      </c>
      <c r="I337" s="51" t="n">
        <v>22</v>
      </c>
      <c r="J337" s="52" t="n">
        <v>46288.95763888889</v>
      </c>
      <c r="K337" s="58" t="str">
        <v>未显示收录</v>
      </c>
      <c r="L337" s="60" t="str">
        <v>查看港服</v>
      </c>
      <c r="M337" s="64" t="str"/>
    </row>
    <row r="338" ht="36" customHeight="1">
      <c r="A338" s="55" t="n">
        <v>331</v>
      </c>
      <c r="B338" s="28" t="str">
        <v>Dwarf Journey</v>
      </c>
      <c r="C338" s="57" t="str">
        <v>PS4</v>
      </c>
      <c r="D338" s="30" t="n">
        <f>ROUND(E338*$B$4,2)</f>
        <v>36.97</v>
      </c>
      <c r="E338" s="31" t="n">
        <v>43.2</v>
      </c>
      <c r="F338" s="32" t="n">
        <v>0.6</v>
      </c>
      <c r="G338" s="57" t="str">
        <v>简体中文</v>
      </c>
      <c r="H338" s="31" t="n">
        <v>4.27</v>
      </c>
      <c r="I338" s="33" t="n">
        <v>22</v>
      </c>
      <c r="J338" s="34" t="n">
        <v>46288.95763888889</v>
      </c>
      <c r="K338" s="57" t="str">
        <v>未显示收录</v>
      </c>
      <c r="L338" s="59" t="str">
        <v>查看港服</v>
      </c>
      <c r="M338" s="63" t="str">
        <v>表列普通折扣价；PS Plus或有额外折扣</v>
      </c>
    </row>
    <row r="339" ht="36" customHeight="1">
      <c r="A339" s="56" t="n">
        <v>332</v>
      </c>
      <c r="B339" s="46" t="str">
        <v>Twins of the Sun</v>
      </c>
      <c r="C339" s="58" t="str">
        <v>PS4 / PS5</v>
      </c>
      <c r="D339" s="48" t="n">
        <f>ROUND(E339*$B$4,2)</f>
        <v>6.67</v>
      </c>
      <c r="E339" s="49" t="n">
        <v>7.8</v>
      </c>
      <c r="F339" s="50" t="n">
        <v>0.9</v>
      </c>
      <c r="G339" s="58" t="str">
        <v>简繁中文</v>
      </c>
      <c r="H339" s="49" t="n">
        <v>3.48</v>
      </c>
      <c r="I339" s="51" t="n">
        <v>21</v>
      </c>
      <c r="J339" s="52" t="n">
        <v>46288.95763888889</v>
      </c>
      <c r="K339" s="58" t="str">
        <v>未显示收录</v>
      </c>
      <c r="L339" s="60" t="str">
        <v>查看港服</v>
      </c>
      <c r="M339" s="64" t="str"/>
    </row>
    <row r="340" ht="36" customHeight="1">
      <c r="A340" s="55" t="n">
        <v>333</v>
      </c>
      <c r="B340" s="28" t="str">
        <v>Bunkers 1944 FPS</v>
      </c>
      <c r="C340" s="57" t="str">
        <v>PS5</v>
      </c>
      <c r="D340" s="30" t="n">
        <f>ROUND(E340*$B$4,2)</f>
        <v>46.72</v>
      </c>
      <c r="E340" s="31" t="n">
        <v>54.6</v>
      </c>
      <c r="F340" s="32" t="n">
        <v>0.3</v>
      </c>
      <c r="G340" s="57" t="str">
        <v>未列中文</v>
      </c>
      <c r="H340" s="31" t="n">
        <v>1.9</v>
      </c>
      <c r="I340" s="33" t="n">
        <v>20</v>
      </c>
      <c r="J340" s="34" t="n">
        <v>46288.95763888889</v>
      </c>
      <c r="K340" s="57" t="str">
        <v>未显示收录</v>
      </c>
      <c r="L340" s="59" t="str">
        <v>查看港服</v>
      </c>
      <c r="M340" s="63" t="str">
        <v>表列普通折扣价；PS Plus或有额外折扣</v>
      </c>
    </row>
    <row r="341" ht="36" customHeight="1">
      <c r="A341" s="56" t="n">
        <v>334</v>
      </c>
      <c r="B341" s="46" t="str">
        <v>Legacy Of Evil</v>
      </c>
      <c r="C341" s="58" t="str">
        <v>PS4</v>
      </c>
      <c r="D341" s="48" t="n">
        <f>ROUND(E341*$B$4,2)</f>
        <v>40.05</v>
      </c>
      <c r="E341" s="49" t="n">
        <v>46.8</v>
      </c>
      <c r="F341" s="50" t="n">
        <v>0.4</v>
      </c>
      <c r="G341" s="58" t="str">
        <v>简体中文</v>
      </c>
      <c r="H341" s="49" t="n">
        <v>2.65</v>
      </c>
      <c r="I341" s="51" t="n">
        <v>20</v>
      </c>
      <c r="J341" s="52" t="n">
        <v>46288.95763888889</v>
      </c>
      <c r="K341" s="58" t="str">
        <v>未显示收录</v>
      </c>
      <c r="L341" s="60" t="str">
        <v>查看港服</v>
      </c>
      <c r="M341" s="64" t="str">
        <v>表列普通折扣价；PS Plus或有额外折扣</v>
      </c>
    </row>
    <row r="342" ht="36" customHeight="1">
      <c r="A342" s="55" t="n">
        <v>335</v>
      </c>
      <c r="B342" s="28" t="str">
        <v>貓與花毯</v>
      </c>
      <c r="C342" s="57" t="str">
        <v>PS5</v>
      </c>
      <c r="D342" s="30" t="n">
        <f>ROUND(E342*$B$4,2)</f>
        <v>55.45</v>
      </c>
      <c r="E342" s="31" t="n">
        <v>64.8</v>
      </c>
      <c r="F342" s="32" t="n">
        <v>0.4</v>
      </c>
      <c r="G342" s="57" t="str">
        <v>简繁中文</v>
      </c>
      <c r="H342" s="31" t="n">
        <v>4.25</v>
      </c>
      <c r="I342" s="33" t="n">
        <v>20</v>
      </c>
      <c r="J342" s="34" t="n">
        <v>46288.95763888889</v>
      </c>
      <c r="K342" s="57" t="str">
        <v>未显示收录</v>
      </c>
      <c r="L342" s="59" t="str">
        <v>查看港服</v>
      </c>
      <c r="M342" s="63" t="str"/>
    </row>
    <row r="343" ht="36" customHeight="1">
      <c r="A343" s="56" t="n">
        <v>336</v>
      </c>
      <c r="B343" s="46" t="str">
        <v>Highway Roads Racer</v>
      </c>
      <c r="C343" s="58" t="str">
        <v>PS4</v>
      </c>
      <c r="D343" s="48" t="n">
        <f>ROUND(E343*$B$4,2)</f>
        <v>22.76</v>
      </c>
      <c r="E343" s="49" t="n">
        <v>26.6</v>
      </c>
      <c r="F343" s="50" t="n">
        <v>0.3</v>
      </c>
      <c r="G343" s="58" t="str">
        <v>未列中文</v>
      </c>
      <c r="H343" s="49" t="n">
        <v>1.9</v>
      </c>
      <c r="I343" s="51" t="n">
        <v>20</v>
      </c>
      <c r="J343" s="52" t="n">
        <v>46288.95763888889</v>
      </c>
      <c r="K343" s="58" t="str">
        <v>未显示收录</v>
      </c>
      <c r="L343" s="60" t="str">
        <v>查看港服</v>
      </c>
      <c r="M343" s="64" t="str">
        <v>表列普通折扣价；PS Plus或有额外折扣</v>
      </c>
    </row>
    <row r="344" ht="36" customHeight="1">
      <c r="A344" s="55" t="n">
        <v>337</v>
      </c>
      <c r="B344" s="28" t="str">
        <v>CANNON ARMY</v>
      </c>
      <c r="C344" s="57" t="str">
        <v>PS4</v>
      </c>
      <c r="D344" s="30" t="n">
        <f>ROUND(E344*$B$4,2)</f>
        <v>10.78</v>
      </c>
      <c r="E344" s="31" t="n">
        <v>12.6</v>
      </c>
      <c r="F344" s="32" t="n">
        <v>0.3</v>
      </c>
      <c r="G344" s="57" t="str">
        <v>未列中文</v>
      </c>
      <c r="H344" s="31" t="n">
        <v>3.58</v>
      </c>
      <c r="I344" s="33" t="n">
        <v>19</v>
      </c>
      <c r="J344" s="34" t="n">
        <v>46288.95763888889</v>
      </c>
      <c r="K344" s="57" t="str">
        <v>未显示收录</v>
      </c>
      <c r="L344" s="59" t="str">
        <v>查看港服</v>
      </c>
      <c r="M344" s="63" t="str">
        <v>表列普通折扣价；PS Plus或有额外折扣</v>
      </c>
    </row>
    <row r="345" ht="36" customHeight="1">
      <c r="A345" s="56" t="n">
        <v>338</v>
      </c>
      <c r="B345" s="46" t="str">
        <v>Extreme Snowboard</v>
      </c>
      <c r="C345" s="58" t="str">
        <v>PS4</v>
      </c>
      <c r="D345" s="48" t="n">
        <f>ROUND(E345*$B$4,2)</f>
        <v>46.72</v>
      </c>
      <c r="E345" s="49" t="n">
        <v>54.6</v>
      </c>
      <c r="F345" s="50" t="n">
        <v>0.3</v>
      </c>
      <c r="G345" s="58" t="str">
        <v>未列中文</v>
      </c>
      <c r="H345" s="49" t="n">
        <v>2.26</v>
      </c>
      <c r="I345" s="51" t="n">
        <v>19</v>
      </c>
      <c r="J345" s="52" t="n">
        <v>46288.95763888889</v>
      </c>
      <c r="K345" s="58" t="str">
        <v>未显示收录</v>
      </c>
      <c r="L345" s="60" t="str">
        <v>查看港服</v>
      </c>
      <c r="M345" s="64" t="str">
        <v>表列普通折扣价；PS Plus或有额外折扣</v>
      </c>
    </row>
    <row r="346" ht="36" customHeight="1">
      <c r="A346" s="55" t="n">
        <v>339</v>
      </c>
      <c r="B346" s="28" t="str">
        <v>Namariel Legends - Iron Lord</v>
      </c>
      <c r="C346" s="57" t="str">
        <v>PS4</v>
      </c>
      <c r="D346" s="30" t="n">
        <f>ROUND(E346*$B$4,2)</f>
        <v>61.92</v>
      </c>
      <c r="E346" s="31" t="n">
        <v>72.36</v>
      </c>
      <c r="F346" s="32" t="n">
        <v>0.33</v>
      </c>
      <c r="G346" s="57" t="str">
        <v>未列中文</v>
      </c>
      <c r="H346" s="31" t="n">
        <v>4.42</v>
      </c>
      <c r="I346" s="33" t="n">
        <v>19</v>
      </c>
      <c r="J346" s="34" t="n">
        <v>46288.95763888889</v>
      </c>
      <c r="K346" s="57" t="str">
        <v>未显示收录</v>
      </c>
      <c r="L346" s="59" t="str">
        <v>查看港服</v>
      </c>
      <c r="M346" s="63" t="str"/>
    </row>
    <row r="347" ht="36" customHeight="1">
      <c r="A347" s="56" t="n">
        <v>340</v>
      </c>
      <c r="B347" s="46" t="str">
        <v>Book of Korvald PS4 &amp; PS5</v>
      </c>
      <c r="C347" s="58" t="str">
        <v>PS4 / PS5</v>
      </c>
      <c r="D347" s="48" t="n">
        <f>ROUND(E347*$B$4,2)</f>
        <v>82.32</v>
      </c>
      <c r="E347" s="49" t="n">
        <v>96.2</v>
      </c>
      <c r="F347" s="50" t="n">
        <v>0.35</v>
      </c>
      <c r="G347" s="58" t="str">
        <v>未列中文</v>
      </c>
      <c r="H347" s="49" t="n">
        <v>4.28</v>
      </c>
      <c r="I347" s="51" t="n">
        <v>18</v>
      </c>
      <c r="J347" s="52" t="n">
        <v>46288.95763888889</v>
      </c>
      <c r="K347" s="58" t="str">
        <v>未显示收录</v>
      </c>
      <c r="L347" s="60" t="str">
        <v>查看港服</v>
      </c>
      <c r="M347" s="64" t="str"/>
    </row>
    <row r="348" ht="44" customHeight="1">
      <c r="A348" s="55" t="n">
        <v>341</v>
      </c>
      <c r="B348" s="28" t="str">
        <v>Monster House Racing</v>
      </c>
      <c r="C348" s="57" t="str">
        <v>PS5</v>
      </c>
      <c r="D348" s="30" t="n">
        <f>ROUND(E348*$B$4,2)</f>
        <v>46.21</v>
      </c>
      <c r="E348" s="31" t="n">
        <v>54</v>
      </c>
      <c r="F348" s="32" t="n">
        <v>0.5</v>
      </c>
      <c r="G348" s="57" t="str">
        <v>未列中文</v>
      </c>
      <c r="H348" s="31" t="n">
        <v>3.06</v>
      </c>
      <c r="I348" s="33" t="n">
        <v>18</v>
      </c>
      <c r="J348" s="34" t="n">
        <v>46288.95763888889</v>
      </c>
      <c r="K348" s="57" t="str">
        <v>未显示收录</v>
      </c>
      <c r="L348" s="59" t="str">
        <v>查看港服</v>
      </c>
      <c r="M348" s="63" t="str">
        <v>含VR相关要求，购买前查看商品页；表列普通折扣价；PS Plus或有额外折扣</v>
      </c>
    </row>
    <row r="349" ht="36" customHeight="1">
      <c r="A349" s="56" t="n">
        <v>342</v>
      </c>
      <c r="B349" s="46" t="str">
        <v>Superpanda</v>
      </c>
      <c r="C349" s="58" t="str">
        <v>PS4</v>
      </c>
      <c r="D349" s="48" t="n">
        <f>ROUND(E349*$B$4,2)</f>
        <v>22.76</v>
      </c>
      <c r="E349" s="49" t="n">
        <v>26.6</v>
      </c>
      <c r="F349" s="50" t="n">
        <v>0.3</v>
      </c>
      <c r="G349" s="58" t="str">
        <v>未列中文</v>
      </c>
      <c r="H349" s="49" t="n">
        <v>2.89</v>
      </c>
      <c r="I349" s="51" t="n">
        <v>18</v>
      </c>
      <c r="J349" s="52" t="n">
        <v>46288.95763888889</v>
      </c>
      <c r="K349" s="58" t="str">
        <v>未显示收录</v>
      </c>
      <c r="L349" s="60" t="str">
        <v>查看港服</v>
      </c>
      <c r="M349" s="64" t="str">
        <v>表列普通折扣价；PS Plus或有额外折扣</v>
      </c>
    </row>
    <row r="350" ht="36" customHeight="1">
      <c r="A350" s="55" t="n">
        <v>343</v>
      </c>
      <c r="B350" s="28" t="str">
        <v>Galactic Invasion</v>
      </c>
      <c r="C350" s="57" t="str">
        <v>PS4</v>
      </c>
      <c r="D350" s="30" t="n">
        <f>ROUND(E350*$B$4,2)</f>
        <v>22.76</v>
      </c>
      <c r="E350" s="31" t="n">
        <v>26.6</v>
      </c>
      <c r="F350" s="32" t="n">
        <v>0.3</v>
      </c>
      <c r="G350" s="57" t="str">
        <v>未列中文</v>
      </c>
      <c r="H350" s="31" t="n">
        <v>2.83</v>
      </c>
      <c r="I350" s="33" t="n">
        <v>18</v>
      </c>
      <c r="J350" s="34" t="n">
        <v>46288.95763888889</v>
      </c>
      <c r="K350" s="57" t="str">
        <v>未显示收录</v>
      </c>
      <c r="L350" s="59" t="str">
        <v>查看港服</v>
      </c>
      <c r="M350" s="63" t="str">
        <v>表列普通折扣价；PS Plus或有额外折扣</v>
      </c>
    </row>
    <row r="351" ht="36" customHeight="1">
      <c r="A351" s="56" t="n">
        <v>344</v>
      </c>
      <c r="B351" s="46" t="str">
        <v>Demons Are Coming! - Final Strike</v>
      </c>
      <c r="C351" s="58" t="str">
        <v>PS4 / PS5</v>
      </c>
      <c r="D351" s="48" t="n">
        <f>ROUND(E351*$B$4,2)</f>
        <v>9.24</v>
      </c>
      <c r="E351" s="49" t="n">
        <v>10.8</v>
      </c>
      <c r="F351" s="50" t="n">
        <v>0.9</v>
      </c>
      <c r="G351" s="58" t="str">
        <v>简繁中文</v>
      </c>
      <c r="H351" s="49" t="n">
        <v>2.88</v>
      </c>
      <c r="I351" s="51" t="n">
        <v>17</v>
      </c>
      <c r="J351" s="52" t="n">
        <v>46288.95763888889</v>
      </c>
      <c r="K351" s="58" t="str">
        <v>未显示收录</v>
      </c>
      <c r="L351" s="60" t="str">
        <v>查看港服</v>
      </c>
      <c r="M351" s="64" t="str"/>
    </row>
    <row r="352" ht="36" customHeight="1">
      <c r="A352" s="55" t="n">
        <v>345</v>
      </c>
      <c r="B352" s="28" t="str">
        <v>Weird Christmas Tales: Caga Tió PS4/PS5</v>
      </c>
      <c r="C352" s="57" t="str">
        <v>PS4 / PS5</v>
      </c>
      <c r="D352" s="30" t="n">
        <f>ROUND(E352*$B$4,2)</f>
        <v>17.88</v>
      </c>
      <c r="E352" s="31" t="n">
        <v>20.9</v>
      </c>
      <c r="F352" s="32" t="n">
        <v>0.45</v>
      </c>
      <c r="G352" s="57" t="str">
        <v>简繁中文</v>
      </c>
      <c r="H352" s="31" t="n">
        <v>4.12</v>
      </c>
      <c r="I352" s="33" t="n">
        <v>17</v>
      </c>
      <c r="J352" s="34" t="n">
        <v>46288.95763888889</v>
      </c>
      <c r="K352" s="57" t="str">
        <v>未显示收录</v>
      </c>
      <c r="L352" s="59" t="str">
        <v>查看港服</v>
      </c>
      <c r="M352" s="63" t="str">
        <v>表列普通折扣价；PS Plus或有额外折扣</v>
      </c>
    </row>
    <row r="353" ht="44" customHeight="1">
      <c r="A353" s="56" t="n">
        <v>346</v>
      </c>
      <c r="B353" s="46" t="str">
        <v>How to Sing to Open Your Heart Remastered PS4 &amp; PS5</v>
      </c>
      <c r="C353" s="58" t="str">
        <v>PS4 / PS5</v>
      </c>
      <c r="D353" s="48" t="n">
        <f>ROUND(E353*$B$4,2)</f>
        <v>55.45</v>
      </c>
      <c r="E353" s="49" t="n">
        <v>64.8</v>
      </c>
      <c r="F353" s="50" t="n">
        <v>0.4</v>
      </c>
      <c r="G353" s="58" t="str">
        <v>未列中文</v>
      </c>
      <c r="H353" s="49" t="n">
        <v>4.53</v>
      </c>
      <c r="I353" s="51" t="n">
        <v>17</v>
      </c>
      <c r="J353" s="52" t="n">
        <v>46288.95763888889</v>
      </c>
      <c r="K353" s="58" t="str">
        <v>未显示收录</v>
      </c>
      <c r="L353" s="60" t="str">
        <v>查看港服</v>
      </c>
      <c r="M353" s="64" t="str"/>
    </row>
    <row r="354" ht="36" customHeight="1">
      <c r="A354" s="55" t="n">
        <v>347</v>
      </c>
      <c r="B354" s="28" t="str">
        <v>Cozy Gardener Simulator</v>
      </c>
      <c r="C354" s="57" t="str">
        <v>PS4</v>
      </c>
      <c r="D354" s="30" t="n">
        <f>ROUND(E354*$B$4,2)</f>
        <v>55.45</v>
      </c>
      <c r="E354" s="31" t="n">
        <v>64.8</v>
      </c>
      <c r="F354" s="32" t="n">
        <v>0.4</v>
      </c>
      <c r="G354" s="57" t="str">
        <v>未列中文</v>
      </c>
      <c r="H354" s="31" t="n">
        <v>2</v>
      </c>
      <c r="I354" s="33" t="n">
        <v>17</v>
      </c>
      <c r="J354" s="34" t="n">
        <v>46288.95763888889</v>
      </c>
      <c r="K354" s="57" t="str">
        <v>未显示收录</v>
      </c>
      <c r="L354" s="59" t="str">
        <v>查看港服</v>
      </c>
      <c r="M354" s="63" t="str">
        <v>表列普通折扣价；PS Plus或有额外折扣</v>
      </c>
    </row>
    <row r="355" ht="36" customHeight="1">
      <c r="A355" s="56" t="n">
        <v>348</v>
      </c>
      <c r="B355" s="46" t="str">
        <v>Discolored 2</v>
      </c>
      <c r="C355" s="58" t="str">
        <v>PS5</v>
      </c>
      <c r="D355" s="48" t="n">
        <f>ROUND(E355*$B$4,2)</f>
        <v>56.99</v>
      </c>
      <c r="E355" s="49" t="n">
        <v>66.6</v>
      </c>
      <c r="F355" s="50" t="n">
        <v>0.55</v>
      </c>
      <c r="G355" s="58" t="str">
        <v>简繁中文</v>
      </c>
      <c r="H355" s="49" t="n">
        <v>4.35</v>
      </c>
      <c r="I355" s="51" t="n">
        <v>17</v>
      </c>
      <c r="J355" s="52" t="n">
        <v>46288.95763888889</v>
      </c>
      <c r="K355" s="58" t="str">
        <v>未显示收录</v>
      </c>
      <c r="L355" s="60" t="str">
        <v>查看港服</v>
      </c>
      <c r="M355" s="64" t="str">
        <v>表列普通折扣价；PS Plus或有额外折扣</v>
      </c>
    </row>
    <row r="356" ht="36" customHeight="1">
      <c r="A356" s="55" t="n">
        <v>349</v>
      </c>
      <c r="B356" s="28" t="str">
        <v>Weird Chirstmas Tales: Caga Tió</v>
      </c>
      <c r="C356" s="57" t="str">
        <v>PS5</v>
      </c>
      <c r="D356" s="30" t="n">
        <f>ROUND(E356*$B$4,2)</f>
        <v>10.78</v>
      </c>
      <c r="E356" s="31" t="n">
        <v>12.6</v>
      </c>
      <c r="F356" s="32" t="n">
        <v>0.3</v>
      </c>
      <c r="G356" s="57" t="str">
        <v>简繁中文</v>
      </c>
      <c r="H356" s="31" t="n">
        <v>4.12</v>
      </c>
      <c r="I356" s="33" t="n">
        <v>17</v>
      </c>
      <c r="J356" s="34" t="n">
        <v>46288.95763888889</v>
      </c>
      <c r="K356" s="57" t="str">
        <v>未显示收录</v>
      </c>
      <c r="L356" s="59" t="str">
        <v>查看港服</v>
      </c>
      <c r="M356" s="63" t="str">
        <v>表列普通折扣价；PS Plus或有额外折扣</v>
      </c>
    </row>
    <row r="357" ht="44" customHeight="1">
      <c r="A357" s="56" t="n">
        <v>350</v>
      </c>
      <c r="B357" s="46" t="str">
        <v>CAFE 0 ~The Sleeping Beast~ REMASTERED PS4 &amp; PS5</v>
      </c>
      <c r="C357" s="58" t="str">
        <v>PS4 / PS5</v>
      </c>
      <c r="D357" s="48" t="n">
        <f>ROUND(E357*$B$4,2)</f>
        <v>75.99</v>
      </c>
      <c r="E357" s="49" t="n">
        <v>88.8</v>
      </c>
      <c r="F357" s="50" t="n">
        <v>0.4</v>
      </c>
      <c r="G357" s="58" t="str">
        <v>未列中文</v>
      </c>
      <c r="H357" s="49" t="n">
        <v>3.56</v>
      </c>
      <c r="I357" s="51" t="n">
        <v>16</v>
      </c>
      <c r="J357" s="52" t="n">
        <v>46288.95763888889</v>
      </c>
      <c r="K357" s="58" t="str">
        <v>未显示收录</v>
      </c>
      <c r="L357" s="60" t="str">
        <v>查看港服</v>
      </c>
      <c r="M357" s="64" t="str"/>
    </row>
    <row r="358" ht="36" customHeight="1">
      <c r="A358" s="55" t="n">
        <v>351</v>
      </c>
      <c r="B358" s="28" t="str">
        <v>Bubble Shooter Piratery</v>
      </c>
      <c r="C358" s="57" t="str">
        <v>PS4</v>
      </c>
      <c r="D358" s="30" t="n">
        <f>ROUND(E358*$B$4,2)</f>
        <v>22.76</v>
      </c>
      <c r="E358" s="31" t="n">
        <v>26.6</v>
      </c>
      <c r="F358" s="32" t="n">
        <v>0.3</v>
      </c>
      <c r="G358" s="57" t="str">
        <v>未列中文</v>
      </c>
      <c r="H358" s="31" t="n">
        <v>3.31</v>
      </c>
      <c r="I358" s="33" t="n">
        <v>16</v>
      </c>
      <c r="J358" s="34" t="n">
        <v>46288.95763888889</v>
      </c>
      <c r="K358" s="57" t="str">
        <v>未显示收录</v>
      </c>
      <c r="L358" s="59" t="str">
        <v>查看港服</v>
      </c>
      <c r="M358" s="63" t="str">
        <v>表列普通折扣价；PS Plus或有额外折扣</v>
      </c>
    </row>
    <row r="359" ht="36" customHeight="1">
      <c r="A359" s="56" t="n">
        <v>352</v>
      </c>
      <c r="B359" s="46" t="str">
        <v>Flippin Kaktus</v>
      </c>
      <c r="C359" s="58" t="str">
        <v>PS4</v>
      </c>
      <c r="D359" s="48" t="n">
        <f>ROUND(E359*$B$4,2)</f>
        <v>26.7</v>
      </c>
      <c r="E359" s="49" t="n">
        <v>31.2</v>
      </c>
      <c r="F359" s="50" t="n">
        <v>0.6</v>
      </c>
      <c r="G359" s="58" t="str">
        <v>简繁中文</v>
      </c>
      <c r="H359" s="49" t="n">
        <v>3.63</v>
      </c>
      <c r="I359" s="51" t="n">
        <v>16</v>
      </c>
      <c r="J359" s="52" t="n">
        <v>46288.95763888889</v>
      </c>
      <c r="K359" s="58" t="str">
        <v>未显示收录</v>
      </c>
      <c r="L359" s="60" t="str">
        <v>查看港服</v>
      </c>
      <c r="M359" s="64" t="str">
        <v>表列普通折扣价；PS Plus或有额外折扣</v>
      </c>
    </row>
    <row r="360" ht="36" customHeight="1">
      <c r="A360" s="55" t="n">
        <v>353</v>
      </c>
      <c r="B360" s="28" t="str">
        <v>Pro Virtual Racing</v>
      </c>
      <c r="C360" s="57" t="str">
        <v>PS5</v>
      </c>
      <c r="D360" s="30" t="n">
        <f>ROUND(E360*$B$4,2)</f>
        <v>46.72</v>
      </c>
      <c r="E360" s="31" t="n">
        <v>54.6</v>
      </c>
      <c r="F360" s="32" t="n">
        <v>0.3</v>
      </c>
      <c r="G360" s="57" t="str">
        <v>未列中文</v>
      </c>
      <c r="H360" s="31" t="n">
        <v>2.25</v>
      </c>
      <c r="I360" s="33" t="n">
        <v>16</v>
      </c>
      <c r="J360" s="34" t="n">
        <v>46288.95763888889</v>
      </c>
      <c r="K360" s="57" t="str">
        <v>未显示收录</v>
      </c>
      <c r="L360" s="59" t="str">
        <v>查看港服</v>
      </c>
      <c r="M360" s="63" t="str">
        <v>表列普通折扣价；PS Plus或有额外折扣</v>
      </c>
    </row>
    <row r="361" ht="36" customHeight="1">
      <c r="A361" s="56" t="n">
        <v>354</v>
      </c>
      <c r="B361" s="46" t="str">
        <v>Hover Racer</v>
      </c>
      <c r="C361" s="58" t="str">
        <v>PS4</v>
      </c>
      <c r="D361" s="48" t="n">
        <f>ROUND(E361*$B$4,2)</f>
        <v>22.76</v>
      </c>
      <c r="E361" s="49" t="n">
        <v>26.6</v>
      </c>
      <c r="F361" s="50" t="n">
        <v>0.3</v>
      </c>
      <c r="G361" s="58" t="str">
        <v>未列中文</v>
      </c>
      <c r="H361" s="49" t="n">
        <v>3.56</v>
      </c>
      <c r="I361" s="51" t="n">
        <v>16</v>
      </c>
      <c r="J361" s="52" t="n">
        <v>46288.95763888889</v>
      </c>
      <c r="K361" s="58" t="str">
        <v>未显示收录</v>
      </c>
      <c r="L361" s="60" t="str">
        <v>查看港服</v>
      </c>
      <c r="M361" s="64" t="str">
        <v>表列普通折扣价；PS Plus或有额外折扣</v>
      </c>
    </row>
    <row r="362" ht="36" customHeight="1">
      <c r="A362" s="55" t="n">
        <v>355</v>
      </c>
      <c r="B362" s="28" t="str">
        <v>Formula Uno Racing</v>
      </c>
      <c r="C362" s="57" t="str">
        <v>PS4</v>
      </c>
      <c r="D362" s="30" t="n">
        <f>ROUND(E362*$B$4,2)</f>
        <v>46.72</v>
      </c>
      <c r="E362" s="31" t="n">
        <v>54.6</v>
      </c>
      <c r="F362" s="32" t="n">
        <v>0.3</v>
      </c>
      <c r="G362" s="57" t="str">
        <v>未列中文</v>
      </c>
      <c r="H362" s="31" t="n">
        <v>1.63</v>
      </c>
      <c r="I362" s="33" t="n">
        <v>16</v>
      </c>
      <c r="J362" s="34" t="n">
        <v>46288.95763888889</v>
      </c>
      <c r="K362" s="57" t="str">
        <v>未显示收录</v>
      </c>
      <c r="L362" s="59" t="str">
        <v>查看港服</v>
      </c>
      <c r="M362" s="63" t="str">
        <v>表列普通折扣价；PS Plus或有额外折扣</v>
      </c>
    </row>
    <row r="363" ht="36" customHeight="1">
      <c r="A363" s="56" t="n">
        <v>356</v>
      </c>
      <c r="B363" s="46" t="str">
        <v>Cute Puppy Academy 可愛小狗學院</v>
      </c>
      <c r="C363" s="58" t="str">
        <v>PS4 / PS5</v>
      </c>
      <c r="D363" s="48" t="n">
        <f>ROUND(E363*$B$4,2)</f>
        <v>12.66</v>
      </c>
      <c r="E363" s="49" t="n">
        <v>14.8</v>
      </c>
      <c r="F363" s="50" t="n">
        <v>0.9</v>
      </c>
      <c r="G363" s="58" t="str">
        <v>简繁中文</v>
      </c>
      <c r="H363" s="49" t="n">
        <v>3.8</v>
      </c>
      <c r="I363" s="51" t="n">
        <v>15</v>
      </c>
      <c r="J363" s="52" t="n">
        <v>46288.95763888889</v>
      </c>
      <c r="K363" s="58" t="str">
        <v>未显示收录</v>
      </c>
      <c r="L363" s="60" t="str">
        <v>查看港服</v>
      </c>
      <c r="M363" s="64" t="str"/>
    </row>
    <row r="364" ht="36" customHeight="1">
      <c r="A364" s="55" t="n">
        <v>357</v>
      </c>
      <c r="B364" s="28" t="str">
        <v>City of Springs</v>
      </c>
      <c r="C364" s="57" t="str">
        <v>PS5</v>
      </c>
      <c r="D364" s="30" t="n">
        <f>ROUND(E364*$B$4,2)</f>
        <v>33.37</v>
      </c>
      <c r="E364" s="31" t="n">
        <v>39</v>
      </c>
      <c r="F364" s="32" t="n">
        <v>0.5</v>
      </c>
      <c r="G364" s="57" t="str">
        <v>未列中文</v>
      </c>
      <c r="H364" s="31" t="n">
        <v>3.67</v>
      </c>
      <c r="I364" s="33" t="n">
        <v>15</v>
      </c>
      <c r="J364" s="34" t="n">
        <v>46288.95763888889</v>
      </c>
      <c r="K364" s="57" t="str">
        <v>未显示收录</v>
      </c>
      <c r="L364" s="59" t="str">
        <v>查看港服</v>
      </c>
      <c r="M364" s="63" t="str">
        <v>表列普通折扣价；PS Plus或有额外折扣</v>
      </c>
    </row>
    <row r="365" ht="36" customHeight="1">
      <c r="A365" s="56" t="n">
        <v>358</v>
      </c>
      <c r="B365" s="46" t="str">
        <v>Mini Ghost</v>
      </c>
      <c r="C365" s="58" t="str">
        <v>PS5</v>
      </c>
      <c r="D365" s="48" t="n">
        <f>ROUND(E365*$B$4,2)</f>
        <v>10.78</v>
      </c>
      <c r="E365" s="49" t="n">
        <v>12.6</v>
      </c>
      <c r="F365" s="50" t="n">
        <v>0.3</v>
      </c>
      <c r="G365" s="58" t="str">
        <v>未列中文</v>
      </c>
      <c r="H365" s="49" t="n">
        <v>3.73</v>
      </c>
      <c r="I365" s="51" t="n">
        <v>15</v>
      </c>
      <c r="J365" s="52" t="n">
        <v>46288.95763888889</v>
      </c>
      <c r="K365" s="58" t="str">
        <v>未显示收录</v>
      </c>
      <c r="L365" s="60" t="str">
        <v>查看港服</v>
      </c>
      <c r="M365" s="64" t="str">
        <v>表列普通折扣价；PS Plus或有额外折扣</v>
      </c>
    </row>
    <row r="366" ht="36" customHeight="1">
      <c r="A366" s="55" t="n">
        <v>359</v>
      </c>
      <c r="B366" s="28" t="str">
        <v>WWII Tank Battle Arena</v>
      </c>
      <c r="C366" s="57" t="str">
        <v>PS4</v>
      </c>
      <c r="D366" s="30" t="n">
        <f>ROUND(E366*$B$4,2)</f>
        <v>22.76</v>
      </c>
      <c r="E366" s="31" t="n">
        <v>26.6</v>
      </c>
      <c r="F366" s="32" t="n">
        <v>0.3</v>
      </c>
      <c r="G366" s="57" t="str">
        <v>未列中文</v>
      </c>
      <c r="H366" s="31" t="n">
        <v>2.93</v>
      </c>
      <c r="I366" s="33" t="n">
        <v>15</v>
      </c>
      <c r="J366" s="34" t="n">
        <v>46288.95763888889</v>
      </c>
      <c r="K366" s="57" t="str">
        <v>未显示收录</v>
      </c>
      <c r="L366" s="59" t="str">
        <v>查看港服</v>
      </c>
      <c r="M366" s="63" t="str">
        <v>表列普通折扣价；PS Plus或有额外折扣</v>
      </c>
    </row>
    <row r="367" ht="36" customHeight="1">
      <c r="A367" s="56" t="n">
        <v>360</v>
      </c>
      <c r="B367" s="46" t="str">
        <v>Ink Inside</v>
      </c>
      <c r="C367" s="58" t="str">
        <v>PS5</v>
      </c>
      <c r="D367" s="48" t="n">
        <f>ROUND(E367*$B$4,2)</f>
        <v>53.4</v>
      </c>
      <c r="E367" s="49" t="n">
        <v>62.4</v>
      </c>
      <c r="F367" s="50" t="n">
        <v>0.2</v>
      </c>
      <c r="G367" s="58" t="str">
        <v>未列中文</v>
      </c>
      <c r="H367" s="49" t="n">
        <v>3.87</v>
      </c>
      <c r="I367" s="51" t="n">
        <v>15</v>
      </c>
      <c r="J367" s="52" t="n">
        <v>46288.95763888889</v>
      </c>
      <c r="K367" s="58" t="str">
        <v>未显示收录</v>
      </c>
      <c r="L367" s="60" t="str">
        <v>查看港服</v>
      </c>
      <c r="M367" s="64" t="str"/>
    </row>
    <row r="368" ht="36" customHeight="1">
      <c r="A368" s="55" t="n">
        <v>361</v>
      </c>
      <c r="B368" s="28" t="str">
        <v>Mech Wars</v>
      </c>
      <c r="C368" s="57" t="str">
        <v>PS4</v>
      </c>
      <c r="D368" s="30" t="n">
        <f>ROUND(E368*$B$4,2)</f>
        <v>22.76</v>
      </c>
      <c r="E368" s="31" t="n">
        <v>26.6</v>
      </c>
      <c r="F368" s="32" t="n">
        <v>0.3</v>
      </c>
      <c r="G368" s="57" t="str">
        <v>未列中文</v>
      </c>
      <c r="H368" s="31" t="n">
        <v>2.29</v>
      </c>
      <c r="I368" s="33" t="n">
        <v>14</v>
      </c>
      <c r="J368" s="34" t="n">
        <v>46288.95763888889</v>
      </c>
      <c r="K368" s="57" t="str">
        <v>未显示收录</v>
      </c>
      <c r="L368" s="59" t="str">
        <v>查看港服</v>
      </c>
      <c r="M368" s="63" t="str">
        <v>表列普通折扣价；PS Plus或有额外折扣</v>
      </c>
    </row>
    <row r="369" ht="36" customHeight="1">
      <c r="A369" s="56" t="n">
        <v>362</v>
      </c>
      <c r="B369" s="46" t="str">
        <v>Rookie Basketball Shoots</v>
      </c>
      <c r="C369" s="58" t="str">
        <v>PS5</v>
      </c>
      <c r="D369" s="48" t="n">
        <f>ROUND(E369*$B$4,2)</f>
        <v>46.72</v>
      </c>
      <c r="E369" s="49" t="n">
        <v>54.6</v>
      </c>
      <c r="F369" s="50" t="n">
        <v>0.3</v>
      </c>
      <c r="G369" s="58" t="str">
        <v>未列中文</v>
      </c>
      <c r="H369" s="49" t="n">
        <v>1.79</v>
      </c>
      <c r="I369" s="51" t="n">
        <v>14</v>
      </c>
      <c r="J369" s="52" t="n">
        <v>46288.95763888889</v>
      </c>
      <c r="K369" s="58" t="str">
        <v>未显示收录</v>
      </c>
      <c r="L369" s="60" t="str">
        <v>查看港服</v>
      </c>
      <c r="M369" s="64" t="str">
        <v>表列普通折扣价；PS Plus或有额外折扣</v>
      </c>
    </row>
    <row r="370" ht="36" customHeight="1">
      <c r="A370" s="55" t="n">
        <v>363</v>
      </c>
      <c r="B370" s="28" t="str">
        <v>SPACETIME ODISSEY PS4 &amp; PS5</v>
      </c>
      <c r="C370" s="57" t="str">
        <v>PS4</v>
      </c>
      <c r="D370" s="30" t="n">
        <f>ROUND(E370*$B$4,2)</f>
        <v>22.76</v>
      </c>
      <c r="E370" s="31" t="n">
        <v>26.6</v>
      </c>
      <c r="F370" s="32" t="n">
        <v>0.3</v>
      </c>
      <c r="G370" s="57" t="str">
        <v>未列中文</v>
      </c>
      <c r="H370" s="31" t="n">
        <v>2.79</v>
      </c>
      <c r="I370" s="33" t="n">
        <v>14</v>
      </c>
      <c r="J370" s="34" t="n">
        <v>46288.95763888889</v>
      </c>
      <c r="K370" s="57" t="str">
        <v>未显示收录</v>
      </c>
      <c r="L370" s="59" t="str">
        <v>查看港服</v>
      </c>
      <c r="M370" s="63" t="str">
        <v>表列普通折扣价；PS Plus或有额外折扣</v>
      </c>
    </row>
    <row r="371" ht="36" customHeight="1">
      <c r="A371" s="56" t="n">
        <v>364</v>
      </c>
      <c r="B371" s="46" t="str">
        <v>Desert Storm War FPS</v>
      </c>
      <c r="C371" s="58" t="str">
        <v>PS5</v>
      </c>
      <c r="D371" s="48" t="n">
        <f>ROUND(E371*$B$4,2)</f>
        <v>88.65</v>
      </c>
      <c r="E371" s="49" t="n">
        <v>103.6</v>
      </c>
      <c r="F371" s="50" t="n">
        <v>0.3</v>
      </c>
      <c r="G371" s="58" t="str">
        <v>未列中文</v>
      </c>
      <c r="H371" s="49" t="n">
        <v>2.46</v>
      </c>
      <c r="I371" s="51" t="n">
        <v>13</v>
      </c>
      <c r="J371" s="52" t="n">
        <v>46288.95763888889</v>
      </c>
      <c r="K371" s="58" t="str">
        <v>未显示收录</v>
      </c>
      <c r="L371" s="60" t="str">
        <v>查看港服</v>
      </c>
      <c r="M371" s="64" t="str">
        <v>表列普通折扣价；PS Plus或有额外折扣</v>
      </c>
    </row>
    <row r="372" ht="36" customHeight="1">
      <c r="A372" s="55" t="n">
        <v>365</v>
      </c>
      <c r="B372" s="28" t="str">
        <v>Torii</v>
      </c>
      <c r="C372" s="57" t="str">
        <v>PS5</v>
      </c>
      <c r="D372" s="30" t="n">
        <f>ROUND(E372*$B$4,2)</f>
        <v>26.7</v>
      </c>
      <c r="E372" s="31" t="n">
        <v>31.2</v>
      </c>
      <c r="F372" s="32" t="n">
        <v>0.6</v>
      </c>
      <c r="G372" s="57" t="str">
        <v>简体中文</v>
      </c>
      <c r="H372" s="31" t="n">
        <v>4.15</v>
      </c>
      <c r="I372" s="33" t="n">
        <v>13</v>
      </c>
      <c r="J372" s="34" t="n">
        <v>46288.95763888889</v>
      </c>
      <c r="K372" s="57" t="str">
        <v>未显示收录</v>
      </c>
      <c r="L372" s="59" t="str">
        <v>查看港服</v>
      </c>
      <c r="M372" s="63" t="str">
        <v>表列普通折扣价；PS Plus或有额外折扣</v>
      </c>
    </row>
    <row r="373" ht="36" customHeight="1">
      <c r="A373" s="56" t="n">
        <v>366</v>
      </c>
      <c r="B373" s="46" t="str">
        <v>RAIDEN FIGHTERS JET REMIX</v>
      </c>
      <c r="C373" s="58" t="str">
        <v>PS4 / PS5</v>
      </c>
      <c r="D373" s="48" t="n">
        <f>ROUND(E373*$B$4,2)</f>
        <v>69.83</v>
      </c>
      <c r="E373" s="49" t="n">
        <v>81.6</v>
      </c>
      <c r="F373" s="50" t="n">
        <v>0.2</v>
      </c>
      <c r="G373" s="58" t="str">
        <v>未列中文</v>
      </c>
      <c r="H373" s="49" t="n">
        <v>4.33</v>
      </c>
      <c r="I373" s="51" t="n">
        <v>12</v>
      </c>
      <c r="J373" s="52" t="n">
        <v>46288.95763888889</v>
      </c>
      <c r="K373" s="58" t="str">
        <v>未显示收录</v>
      </c>
      <c r="L373" s="60" t="str">
        <v>查看港服</v>
      </c>
      <c r="M373" s="64" t="str"/>
    </row>
    <row r="374" ht="36" customHeight="1">
      <c r="A374" s="55" t="n">
        <v>367</v>
      </c>
      <c r="B374" s="28" t="str">
        <v>Galagi Shooter Ultimate Blast</v>
      </c>
      <c r="C374" s="57" t="str">
        <v>PS5</v>
      </c>
      <c r="D374" s="30" t="n">
        <f>ROUND(E374*$B$4,2)</f>
        <v>22.76</v>
      </c>
      <c r="E374" s="31" t="n">
        <v>26.6</v>
      </c>
      <c r="F374" s="32" t="n">
        <v>0.3</v>
      </c>
      <c r="G374" s="57" t="str">
        <v>未列中文</v>
      </c>
      <c r="H374" s="31" t="n">
        <v>3.92</v>
      </c>
      <c r="I374" s="33" t="n">
        <v>12</v>
      </c>
      <c r="J374" s="34" t="n">
        <v>46288.95763888889</v>
      </c>
      <c r="K374" s="57" t="str">
        <v>未显示收录</v>
      </c>
      <c r="L374" s="59" t="str">
        <v>查看港服</v>
      </c>
      <c r="M374" s="63" t="str">
        <v>表列普通折扣价；PS Plus或有额外折扣</v>
      </c>
    </row>
    <row r="375" ht="36" customHeight="1">
      <c r="A375" s="56" t="n">
        <v>368</v>
      </c>
      <c r="B375" s="46" t="str">
        <v>Farming TriPeaks Solitaire</v>
      </c>
      <c r="C375" s="58" t="str">
        <v>PS4</v>
      </c>
      <c r="D375" s="48" t="n">
        <f>ROUND(E375*$B$4,2)</f>
        <v>22.76</v>
      </c>
      <c r="E375" s="49" t="n">
        <v>26.6</v>
      </c>
      <c r="F375" s="50" t="n">
        <v>0.3</v>
      </c>
      <c r="G375" s="58" t="str">
        <v>未列中文</v>
      </c>
      <c r="H375" s="49" t="n">
        <v>2.92</v>
      </c>
      <c r="I375" s="51" t="n">
        <v>12</v>
      </c>
      <c r="J375" s="52" t="n">
        <v>46288.95763888889</v>
      </c>
      <c r="K375" s="58" t="str">
        <v>未显示收录</v>
      </c>
      <c r="L375" s="60" t="str">
        <v>查看港服</v>
      </c>
      <c r="M375" s="64" t="str">
        <v>表列普通折扣价；PS Plus或有额外折扣</v>
      </c>
    </row>
    <row r="376" ht="36" customHeight="1">
      <c r="A376" s="55" t="n">
        <v>369</v>
      </c>
      <c r="B376" s="28" t="str">
        <v>Archery Legend</v>
      </c>
      <c r="C376" s="57" t="str">
        <v>PS4</v>
      </c>
      <c r="D376" s="30" t="n">
        <f>ROUND(E376*$B$4,2)</f>
        <v>22.76</v>
      </c>
      <c r="E376" s="31" t="n">
        <v>26.6</v>
      </c>
      <c r="F376" s="32" t="n">
        <v>0.3</v>
      </c>
      <c r="G376" s="57" t="str">
        <v>未列中文</v>
      </c>
      <c r="H376" s="31" t="n">
        <v>3.27</v>
      </c>
      <c r="I376" s="33" t="n">
        <v>11</v>
      </c>
      <c r="J376" s="34" t="n">
        <v>46288.95763888889</v>
      </c>
      <c r="K376" s="57" t="str">
        <v>未显示收录</v>
      </c>
      <c r="L376" s="59" t="str">
        <v>查看港服</v>
      </c>
      <c r="M376" s="63" t="str">
        <v>表列普通折扣价；PS Plus或有额外折扣</v>
      </c>
    </row>
    <row r="377" ht="36" customHeight="1">
      <c r="A377" s="56" t="n">
        <v>370</v>
      </c>
      <c r="B377" s="46" t="str">
        <v>HexaScape: Cyber Defense</v>
      </c>
      <c r="C377" s="58" t="str">
        <v>PS5</v>
      </c>
      <c r="D377" s="48" t="n">
        <f>ROUND(E377*$B$4,2)</f>
        <v>46.21</v>
      </c>
      <c r="E377" s="49" t="n">
        <v>54</v>
      </c>
      <c r="F377" s="50" t="n">
        <v>0.5</v>
      </c>
      <c r="G377" s="58" t="str">
        <v>未列中文</v>
      </c>
      <c r="H377" s="49" t="n">
        <v>3.45</v>
      </c>
      <c r="I377" s="51" t="n">
        <v>11</v>
      </c>
      <c r="J377" s="52" t="n">
        <v>46288.95763888889</v>
      </c>
      <c r="K377" s="58" t="str">
        <v>未显示收录</v>
      </c>
      <c r="L377" s="60" t="str">
        <v>查看港服</v>
      </c>
      <c r="M377" s="64" t="str"/>
    </row>
    <row r="378" ht="36" customHeight="1">
      <c r="A378" s="55" t="n">
        <v>371</v>
      </c>
      <c r="B378" s="28" t="str">
        <v>Nitro Karts Racing</v>
      </c>
      <c r="C378" s="57" t="str">
        <v>PS5</v>
      </c>
      <c r="D378" s="30" t="n">
        <f>ROUND(E378*$B$4,2)</f>
        <v>22.76</v>
      </c>
      <c r="E378" s="31" t="n">
        <v>26.6</v>
      </c>
      <c r="F378" s="32" t="n">
        <v>0.3</v>
      </c>
      <c r="G378" s="57" t="str">
        <v>未列中文</v>
      </c>
      <c r="H378" s="31" t="n">
        <v>2.18</v>
      </c>
      <c r="I378" s="33" t="n">
        <v>11</v>
      </c>
      <c r="J378" s="34" t="n">
        <v>46288.95763888889</v>
      </c>
      <c r="K378" s="57" t="str">
        <v>未显示收录</v>
      </c>
      <c r="L378" s="59" t="str">
        <v>查看港服</v>
      </c>
      <c r="M378" s="63" t="str">
        <v>表列普通折扣价；PS Plus或有额外折扣</v>
      </c>
    </row>
    <row r="379" ht="36" customHeight="1">
      <c r="A379" s="56" t="n">
        <v>372</v>
      </c>
      <c r="B379" s="46" t="str">
        <v>Park Racer</v>
      </c>
      <c r="C379" s="58" t="str">
        <v>PS4</v>
      </c>
      <c r="D379" s="48" t="n">
        <f>ROUND(E379*$B$4,2)</f>
        <v>22.76</v>
      </c>
      <c r="E379" s="49" t="n">
        <v>26.6</v>
      </c>
      <c r="F379" s="50" t="n">
        <v>0.3</v>
      </c>
      <c r="G379" s="58" t="str">
        <v>未列中文</v>
      </c>
      <c r="H379" s="49" t="n">
        <v>1.73</v>
      </c>
      <c r="I379" s="51" t="n">
        <v>11</v>
      </c>
      <c r="J379" s="52" t="n">
        <v>46288.95763888889</v>
      </c>
      <c r="K379" s="58" t="str">
        <v>未显示收录</v>
      </c>
      <c r="L379" s="60" t="str">
        <v>查看港服</v>
      </c>
      <c r="M379" s="64" t="str">
        <v>表列普通折扣价；PS Plus或有额外折扣</v>
      </c>
    </row>
    <row r="380" ht="36" customHeight="1">
      <c r="A380" s="55" t="n">
        <v>373</v>
      </c>
      <c r="B380" s="28" t="str">
        <v>Pinball Frenzy</v>
      </c>
      <c r="C380" s="57" t="str">
        <v>PS4</v>
      </c>
      <c r="D380" s="30" t="n">
        <f>ROUND(E380*$B$4,2)</f>
        <v>22.76</v>
      </c>
      <c r="E380" s="31" t="n">
        <v>26.6</v>
      </c>
      <c r="F380" s="32" t="n">
        <v>0.3</v>
      </c>
      <c r="G380" s="57" t="str">
        <v>未列中文</v>
      </c>
      <c r="H380" s="31" t="n">
        <v>2.91</v>
      </c>
      <c r="I380" s="33" t="n">
        <v>11</v>
      </c>
      <c r="J380" s="34" t="n">
        <v>46288.95763888889</v>
      </c>
      <c r="K380" s="57" t="str">
        <v>未显示收录</v>
      </c>
      <c r="L380" s="59" t="str">
        <v>查看港服</v>
      </c>
      <c r="M380" s="63" t="str">
        <v>表列普通折扣价；PS Plus或有额外折扣</v>
      </c>
    </row>
    <row r="381" ht="36" customHeight="1">
      <c r="A381" s="56" t="n">
        <v>374</v>
      </c>
      <c r="B381" s="46" t="str">
        <v>Tabletop Foosball</v>
      </c>
      <c r="C381" s="58" t="str">
        <v>PS4</v>
      </c>
      <c r="D381" s="48" t="n">
        <f>ROUND(E381*$B$4,2)</f>
        <v>22.76</v>
      </c>
      <c r="E381" s="49" t="n">
        <v>26.6</v>
      </c>
      <c r="F381" s="50" t="n">
        <v>0.3</v>
      </c>
      <c r="G381" s="58" t="str">
        <v>未列中文</v>
      </c>
      <c r="H381" s="49" t="n">
        <v>2.09</v>
      </c>
      <c r="I381" s="51" t="n">
        <v>11</v>
      </c>
      <c r="J381" s="52" t="n">
        <v>46288.95763888889</v>
      </c>
      <c r="K381" s="58" t="str">
        <v>未显示收录</v>
      </c>
      <c r="L381" s="60" t="str">
        <v>查看港服</v>
      </c>
      <c r="M381" s="64" t="str">
        <v>表列普通折扣价；PS Plus或有额外折扣</v>
      </c>
    </row>
    <row r="382" ht="36" customHeight="1">
      <c r="A382" s="55" t="n">
        <v>375</v>
      </c>
      <c r="B382" s="28" t="str">
        <v>Turbo Skiddy Racing</v>
      </c>
      <c r="C382" s="57" t="str">
        <v>PS4</v>
      </c>
      <c r="D382" s="30" t="n">
        <f>ROUND(E382*$B$4,2)</f>
        <v>22.76</v>
      </c>
      <c r="E382" s="31" t="n">
        <v>26.6</v>
      </c>
      <c r="F382" s="32" t="n">
        <v>0.3</v>
      </c>
      <c r="G382" s="57" t="str">
        <v>未列中文</v>
      </c>
      <c r="H382" s="31" t="n">
        <v>2.91</v>
      </c>
      <c r="I382" s="33" t="n">
        <v>11</v>
      </c>
      <c r="J382" s="34" t="n">
        <v>46288.95763888889</v>
      </c>
      <c r="K382" s="57" t="str">
        <v>未显示收录</v>
      </c>
      <c r="L382" s="59" t="str">
        <v>查看港服</v>
      </c>
      <c r="M382" s="63" t="str">
        <v>表列普通折扣价；PS Plus或有额外折扣</v>
      </c>
    </row>
    <row r="383" ht="36" customHeight="1">
      <c r="A383" s="56" t="n">
        <v>376</v>
      </c>
      <c r="B383" s="46" t="str">
        <v>CRYZON part1</v>
      </c>
      <c r="C383" s="58" t="str">
        <v>PS4</v>
      </c>
      <c r="D383" s="48" t="n">
        <f>ROUND(E383*$B$4,2)</f>
        <v>10.78</v>
      </c>
      <c r="E383" s="49" t="n">
        <v>12.6</v>
      </c>
      <c r="F383" s="50" t="n">
        <v>0.3</v>
      </c>
      <c r="G383" s="58" t="str">
        <v>未列中文</v>
      </c>
      <c r="H383" s="49" t="n">
        <v>2.9</v>
      </c>
      <c r="I383" s="51" t="n">
        <v>10</v>
      </c>
      <c r="J383" s="52" t="n">
        <v>46288.95763888889</v>
      </c>
      <c r="K383" s="58" t="str">
        <v>未显示收录</v>
      </c>
      <c r="L383" s="60" t="str">
        <v>查看港服</v>
      </c>
      <c r="M383" s="64" t="str">
        <v>表列普通折扣价；PS Plus或有额外折扣</v>
      </c>
    </row>
    <row r="384" ht="36" customHeight="1">
      <c r="A384" s="55" t="n">
        <v>377</v>
      </c>
      <c r="B384" s="28" t="str">
        <v>Offroad Racing</v>
      </c>
      <c r="C384" s="57" t="str">
        <v>PS4</v>
      </c>
      <c r="D384" s="30" t="n">
        <f>ROUND(E384*$B$4,2)</f>
        <v>22.76</v>
      </c>
      <c r="E384" s="31" t="n">
        <v>26.6</v>
      </c>
      <c r="F384" s="32" t="n">
        <v>0.3</v>
      </c>
      <c r="G384" s="57" t="str">
        <v>未列中文</v>
      </c>
      <c r="H384" s="31" t="n">
        <v>2.5</v>
      </c>
      <c r="I384" s="33" t="n">
        <v>10</v>
      </c>
      <c r="J384" s="34" t="n">
        <v>46288.95763888889</v>
      </c>
      <c r="K384" s="57" t="str">
        <v>未显示收录</v>
      </c>
      <c r="L384" s="59" t="str">
        <v>查看港服</v>
      </c>
      <c r="M384" s="63" t="str">
        <v>表列普通折扣价；PS Plus或有额外折扣</v>
      </c>
    </row>
    <row r="385" ht="36" customHeight="1">
      <c r="A385" s="56" t="n">
        <v>378</v>
      </c>
      <c r="B385" s="46" t="str">
        <v>雷電戰機 REMIX（RAIDEN FIGHTERS REMIX）</v>
      </c>
      <c r="C385" s="58" t="str">
        <v>PS4 / PS5</v>
      </c>
      <c r="D385" s="48" t="n">
        <f>ROUND(E385*$B$4,2)</f>
        <v>69.83</v>
      </c>
      <c r="E385" s="49" t="n">
        <v>81.6</v>
      </c>
      <c r="F385" s="50" t="n">
        <v>0.2</v>
      </c>
      <c r="G385" s="58" t="str">
        <v>未列中文</v>
      </c>
      <c r="H385" s="49" t="n">
        <v>4</v>
      </c>
      <c r="I385" s="51" t="n">
        <v>9</v>
      </c>
      <c r="J385" s="52" t="n">
        <v>46288.95763888889</v>
      </c>
      <c r="K385" s="58" t="str">
        <v>未显示收录</v>
      </c>
      <c r="L385" s="60" t="str">
        <v>查看港服</v>
      </c>
      <c r="M385" s="64" t="str"/>
    </row>
    <row r="386" ht="36" customHeight="1">
      <c r="A386" s="55" t="n">
        <v>379</v>
      </c>
      <c r="B386" s="28" t="str">
        <v>Blob Quest</v>
      </c>
      <c r="C386" s="57" t="str">
        <v>PS4</v>
      </c>
      <c r="D386" s="30" t="n">
        <f>ROUND(E386*$B$4,2)</f>
        <v>22.76</v>
      </c>
      <c r="E386" s="31" t="n">
        <v>26.6</v>
      </c>
      <c r="F386" s="32" t="n">
        <v>0.3</v>
      </c>
      <c r="G386" s="57" t="str">
        <v>未列中文</v>
      </c>
      <c r="H386" s="31" t="n">
        <v>3.44</v>
      </c>
      <c r="I386" s="33" t="n">
        <v>9</v>
      </c>
      <c r="J386" s="34" t="n">
        <v>46288.95763888889</v>
      </c>
      <c r="K386" s="57" t="str">
        <v>未显示收录</v>
      </c>
      <c r="L386" s="59" t="str">
        <v>查看港服</v>
      </c>
      <c r="M386" s="63" t="str">
        <v>表列普通折扣价；PS Plus或有额外折扣</v>
      </c>
    </row>
    <row r="387" ht="36" customHeight="1">
      <c r="A387" s="56" t="n">
        <v>380</v>
      </c>
      <c r="B387" s="46" t="str">
        <v>Monster Meals</v>
      </c>
      <c r="C387" s="58" t="str">
        <v>PS4</v>
      </c>
      <c r="D387" s="48" t="n">
        <f>ROUND(E387*$B$4,2)</f>
        <v>55.45</v>
      </c>
      <c r="E387" s="49" t="n">
        <v>64.8</v>
      </c>
      <c r="F387" s="50" t="n">
        <v>0.4</v>
      </c>
      <c r="G387" s="58" t="str">
        <v>简繁中文</v>
      </c>
      <c r="H387" s="49" t="n">
        <v>4.56</v>
      </c>
      <c r="I387" s="51" t="n">
        <v>9</v>
      </c>
      <c r="J387" s="52" t="n">
        <v>46288.95763888889</v>
      </c>
      <c r="K387" s="58" t="str">
        <v>未显示收录</v>
      </c>
      <c r="L387" s="60" t="str">
        <v>查看港服</v>
      </c>
      <c r="M387" s="64" t="str">
        <v>表列普通折扣价；PS Plus或有额外折扣</v>
      </c>
    </row>
    <row r="388" ht="36" customHeight="1">
      <c r="A388" s="55" t="n">
        <v>381</v>
      </c>
      <c r="B388" s="28" t="str">
        <v>Toon Breakout 3D</v>
      </c>
      <c r="C388" s="57" t="str">
        <v>PS4</v>
      </c>
      <c r="D388" s="30" t="n">
        <f>ROUND(E388*$B$4,2)</f>
        <v>10.78</v>
      </c>
      <c r="E388" s="31" t="n">
        <v>12.6</v>
      </c>
      <c r="F388" s="32" t="n">
        <v>0.3</v>
      </c>
      <c r="G388" s="57" t="str">
        <v>未列中文</v>
      </c>
      <c r="H388" s="31" t="n">
        <v>2.33</v>
      </c>
      <c r="I388" s="33" t="n">
        <v>9</v>
      </c>
      <c r="J388" s="34" t="n">
        <v>46288.95763888889</v>
      </c>
      <c r="K388" s="57" t="str">
        <v>未显示收录</v>
      </c>
      <c r="L388" s="59" t="str">
        <v>查看港服</v>
      </c>
      <c r="M388" s="63" t="str">
        <v>表列普通折扣价；PS Plus或有额外折扣</v>
      </c>
    </row>
    <row r="389" ht="36" customHeight="1">
      <c r="A389" s="56" t="n">
        <v>382</v>
      </c>
      <c r="B389" s="46" t="str">
        <v>Notice Me Leena-senpai! PS4 &amp; PS5</v>
      </c>
      <c r="C389" s="58" t="str">
        <v>PS4 / PS5</v>
      </c>
      <c r="D389" s="48" t="n">
        <f>ROUND(E389*$B$4,2)</f>
        <v>21.22</v>
      </c>
      <c r="E389" s="49" t="n">
        <v>24.8</v>
      </c>
      <c r="F389" s="50" t="n">
        <v>0.6</v>
      </c>
      <c r="G389" s="58" t="str">
        <v>未列中文</v>
      </c>
      <c r="H389" s="49" t="n">
        <v>4.88</v>
      </c>
      <c r="I389" s="51" t="n">
        <v>8</v>
      </c>
      <c r="J389" s="52" t="n">
        <v>46288.95763888889</v>
      </c>
      <c r="K389" s="58" t="str">
        <v>未显示收录</v>
      </c>
      <c r="L389" s="60" t="str">
        <v>查看港服</v>
      </c>
      <c r="M389" s="64" t="str"/>
    </row>
    <row r="390" ht="36" customHeight="1">
      <c r="A390" s="55" t="n">
        <v>383</v>
      </c>
      <c r="B390" s="28" t="str">
        <v>雷電戰機2 REMIX  (RAIDEN FIGHTERS 2 REMIX)</v>
      </c>
      <c r="C390" s="57" t="str">
        <v>PS4 / PS5</v>
      </c>
      <c r="D390" s="30" t="n">
        <f>ROUND(E390*$B$4,2)</f>
        <v>69.83</v>
      </c>
      <c r="E390" s="31" t="n">
        <v>81.6</v>
      </c>
      <c r="F390" s="32" t="n">
        <v>0.2</v>
      </c>
      <c r="G390" s="57" t="str">
        <v>未列中文</v>
      </c>
      <c r="H390" s="31" t="n">
        <v>4.13</v>
      </c>
      <c r="I390" s="33" t="n">
        <v>8</v>
      </c>
      <c r="J390" s="34" t="n">
        <v>46288.95763888889</v>
      </c>
      <c r="K390" s="57" t="str">
        <v>未显示收录</v>
      </c>
      <c r="L390" s="59" t="str">
        <v>查看港服</v>
      </c>
      <c r="M390" s="63" t="str"/>
    </row>
    <row r="391" ht="36" customHeight="1">
      <c r="A391" s="56" t="n">
        <v>384</v>
      </c>
      <c r="B391" s="46" t="str">
        <v>All Motors Racing Simulator</v>
      </c>
      <c r="C391" s="58" t="str">
        <v>PS5</v>
      </c>
      <c r="D391" s="48" t="n">
        <f>ROUND(E391*$B$4,2)</f>
        <v>64.69</v>
      </c>
      <c r="E391" s="49" t="n">
        <v>75.6</v>
      </c>
      <c r="F391" s="50" t="n">
        <v>0.3</v>
      </c>
      <c r="G391" s="58" t="str">
        <v>未列中文</v>
      </c>
      <c r="H391" s="49" t="n">
        <v>2.63</v>
      </c>
      <c r="I391" s="51" t="n">
        <v>8</v>
      </c>
      <c r="J391" s="52" t="n">
        <v>46288.95763888889</v>
      </c>
      <c r="K391" s="58" t="str">
        <v>未显示收录</v>
      </c>
      <c r="L391" s="60" t="str">
        <v>查看港服</v>
      </c>
      <c r="M391" s="64" t="str">
        <v>表列普通折扣价；PS Plus或有额外折扣</v>
      </c>
    </row>
    <row r="392" ht="36" customHeight="1">
      <c r="A392" s="55" t="n">
        <v>385</v>
      </c>
      <c r="B392" s="28" t="str">
        <v>Brawl Snakes</v>
      </c>
      <c r="C392" s="57" t="str">
        <v>PS4</v>
      </c>
      <c r="D392" s="30" t="n">
        <f>ROUND(E392*$B$4,2)</f>
        <v>22.76</v>
      </c>
      <c r="E392" s="31" t="n">
        <v>26.6</v>
      </c>
      <c r="F392" s="32" t="n">
        <v>0.3</v>
      </c>
      <c r="G392" s="57" t="str">
        <v>未列中文</v>
      </c>
      <c r="H392" s="31" t="n">
        <v>3.25</v>
      </c>
      <c r="I392" s="33" t="n">
        <v>8</v>
      </c>
      <c r="J392" s="34" t="n">
        <v>46288.95763888889</v>
      </c>
      <c r="K392" s="57" t="str">
        <v>未显示收录</v>
      </c>
      <c r="L392" s="59" t="str">
        <v>查看港服</v>
      </c>
      <c r="M392" s="63" t="str">
        <v>表列普通折扣价；PS Plus或有额外折扣</v>
      </c>
    </row>
    <row r="393" ht="36" customHeight="1">
      <c r="A393" s="56" t="n">
        <v>386</v>
      </c>
      <c r="B393" s="46" t="str">
        <v>Retro Drive: Revamped</v>
      </c>
      <c r="C393" s="58" t="str">
        <v>PS4</v>
      </c>
      <c r="D393" s="48" t="n">
        <f>ROUND(E393*$B$4,2)</f>
        <v>26.7</v>
      </c>
      <c r="E393" s="49" t="n">
        <v>31.2</v>
      </c>
      <c r="F393" s="50" t="n">
        <v>0.6</v>
      </c>
      <c r="G393" s="58" t="str">
        <v>简体中文</v>
      </c>
      <c r="H393" s="49" t="n">
        <v>4</v>
      </c>
      <c r="I393" s="51" t="n">
        <v>8</v>
      </c>
      <c r="J393" s="52" t="n">
        <v>46288.95763888889</v>
      </c>
      <c r="K393" s="58" t="str">
        <v>未显示收录</v>
      </c>
      <c r="L393" s="60" t="str">
        <v>查看港服</v>
      </c>
      <c r="M393" s="64" t="str">
        <v>表列普通折扣价；PS Plus或有额外折扣</v>
      </c>
    </row>
    <row r="394" ht="36" customHeight="1">
      <c r="A394" s="55" t="n">
        <v>387</v>
      </c>
      <c r="B394" s="28" t="str">
        <v>Souno's Curse</v>
      </c>
      <c r="C394" s="57" t="str">
        <v>PS4</v>
      </c>
      <c r="D394" s="30" t="n">
        <f>ROUND(E394*$B$4,2)</f>
        <v>33.37</v>
      </c>
      <c r="E394" s="31" t="n">
        <v>39</v>
      </c>
      <c r="F394" s="32" t="n">
        <v>0.5</v>
      </c>
      <c r="G394" s="57" t="str">
        <v>未列中文</v>
      </c>
      <c r="H394" s="31" t="n">
        <v>3.13</v>
      </c>
      <c r="I394" s="33" t="n">
        <v>8</v>
      </c>
      <c r="J394" s="34" t="n">
        <v>46288.95763888889</v>
      </c>
      <c r="K394" s="57" t="str">
        <v>未显示收录</v>
      </c>
      <c r="L394" s="59" t="str">
        <v>查看港服</v>
      </c>
      <c r="M394" s="63" t="str">
        <v>表列普通折扣价；PS Plus或有额外折扣</v>
      </c>
    </row>
    <row r="395" ht="36" customHeight="1">
      <c r="A395" s="56" t="n">
        <v>388</v>
      </c>
      <c r="B395" s="46" t="str">
        <v>Xtreme Drift Racing Simulator</v>
      </c>
      <c r="C395" s="58" t="str">
        <v>PS5</v>
      </c>
      <c r="D395" s="48" t="n">
        <f>ROUND(E395*$B$4,2)</f>
        <v>46.72</v>
      </c>
      <c r="E395" s="49" t="n">
        <v>54.6</v>
      </c>
      <c r="F395" s="50" t="n">
        <v>0.3</v>
      </c>
      <c r="G395" s="58" t="str">
        <v>未列中文</v>
      </c>
      <c r="H395" s="49" t="n">
        <v>1.63</v>
      </c>
      <c r="I395" s="51" t="n">
        <v>8</v>
      </c>
      <c r="J395" s="52" t="n">
        <v>46288.95763888889</v>
      </c>
      <c r="K395" s="58" t="str">
        <v>未显示收录</v>
      </c>
      <c r="L395" s="60" t="str">
        <v>查看港服</v>
      </c>
      <c r="M395" s="64" t="str">
        <v>表列普通折扣价；PS Plus或有额外折扣</v>
      </c>
    </row>
    <row r="396" ht="36" customHeight="1">
      <c r="A396" s="55" t="n">
        <v>389</v>
      </c>
      <c r="B396" s="28" t="str">
        <v>Kittengumi Short: Chapter 0</v>
      </c>
      <c r="C396" s="57" t="str">
        <v>PS4</v>
      </c>
      <c r="D396" s="30" t="n">
        <f>ROUND(E396*$B$4,2)</f>
        <v>22.76</v>
      </c>
      <c r="E396" s="31" t="n">
        <v>26.6</v>
      </c>
      <c r="F396" s="32" t="n">
        <v>0.3</v>
      </c>
      <c r="G396" s="57" t="str">
        <v>简繁中文</v>
      </c>
      <c r="H396" s="31" t="n">
        <v>4.13</v>
      </c>
      <c r="I396" s="33" t="n">
        <v>8</v>
      </c>
      <c r="J396" s="34" t="n">
        <v>46288.95763888889</v>
      </c>
      <c r="K396" s="57" t="str">
        <v>未显示收录</v>
      </c>
      <c r="L396" s="59" t="str">
        <v>查看港服</v>
      </c>
      <c r="M396" s="63" t="str">
        <v>表列普通折扣价；PS Plus或有额外折扣</v>
      </c>
    </row>
    <row r="397" ht="36" customHeight="1">
      <c r="A397" s="56" t="n">
        <v>390</v>
      </c>
      <c r="B397" s="46" t="str">
        <v>Cats vs Dogs</v>
      </c>
      <c r="C397" s="58" t="str">
        <v>PS4</v>
      </c>
      <c r="D397" s="48" t="n">
        <f>ROUND(E397*$B$4,2)</f>
        <v>22.76</v>
      </c>
      <c r="E397" s="49" t="n">
        <v>26.6</v>
      </c>
      <c r="F397" s="50" t="n">
        <v>0.3</v>
      </c>
      <c r="G397" s="58" t="str">
        <v>未列中文</v>
      </c>
      <c r="H397" s="49" t="n">
        <v>3.71</v>
      </c>
      <c r="I397" s="51" t="n">
        <v>7</v>
      </c>
      <c r="J397" s="52" t="n">
        <v>46288.95763888889</v>
      </c>
      <c r="K397" s="58" t="str">
        <v>未显示收录</v>
      </c>
      <c r="L397" s="60" t="str">
        <v>查看港服</v>
      </c>
      <c r="M397" s="64" t="str">
        <v>表列普通折扣价；PS Plus或有额外折扣</v>
      </c>
    </row>
    <row r="398" ht="36" customHeight="1">
      <c r="A398" s="55" t="n">
        <v>391</v>
      </c>
      <c r="B398" s="28" t="str">
        <v>Digitris</v>
      </c>
      <c r="C398" s="57" t="str">
        <v>PS4</v>
      </c>
      <c r="D398" s="30" t="n">
        <f>ROUND(E398*$B$4,2)</f>
        <v>22.76</v>
      </c>
      <c r="E398" s="31" t="n">
        <v>26.6</v>
      </c>
      <c r="F398" s="32" t="n">
        <v>0.3</v>
      </c>
      <c r="G398" s="57" t="str">
        <v>未列中文</v>
      </c>
      <c r="H398" s="31" t="n">
        <v>3.43</v>
      </c>
      <c r="I398" s="33" t="n">
        <v>7</v>
      </c>
      <c r="J398" s="34" t="n">
        <v>46288.95763888889</v>
      </c>
      <c r="K398" s="57" t="str">
        <v>未显示收录</v>
      </c>
      <c r="L398" s="59" t="str">
        <v>查看港服</v>
      </c>
      <c r="M398" s="63" t="str">
        <v>表列普通折扣价；PS Plus或有额外折扣</v>
      </c>
    </row>
    <row r="399" ht="36" customHeight="1">
      <c r="A399" s="56" t="n">
        <v>392</v>
      </c>
      <c r="B399" s="46" t="str">
        <v>Paper Plane</v>
      </c>
      <c r="C399" s="58" t="str">
        <v>PS5</v>
      </c>
      <c r="D399" s="48" t="n">
        <f>ROUND(E399*$B$4,2)</f>
        <v>22.76</v>
      </c>
      <c r="E399" s="49" t="n">
        <v>26.6</v>
      </c>
      <c r="F399" s="50" t="n">
        <v>0.3</v>
      </c>
      <c r="G399" s="58" t="str">
        <v>未列中文</v>
      </c>
      <c r="H399" s="49" t="n">
        <v>3.29</v>
      </c>
      <c r="I399" s="51" t="n">
        <v>7</v>
      </c>
      <c r="J399" s="52" t="n">
        <v>46288.95763888889</v>
      </c>
      <c r="K399" s="58" t="str">
        <v>未显示收录</v>
      </c>
      <c r="L399" s="60" t="str">
        <v>查看港服</v>
      </c>
      <c r="M399" s="64" t="str">
        <v>表列普通折扣价；PS Plus或有额外折扣</v>
      </c>
    </row>
    <row r="400" ht="36" customHeight="1">
      <c r="A400" s="55" t="n">
        <v>393</v>
      </c>
      <c r="B400" s="28" t="str">
        <v>Klaus Lee - Thunderballs</v>
      </c>
      <c r="C400" s="57" t="str">
        <v>PS4</v>
      </c>
      <c r="D400" s="30" t="n">
        <f>ROUND(E400*$B$4,2)</f>
        <v>16.69</v>
      </c>
      <c r="E400" s="31" t="n">
        <v>19.5</v>
      </c>
      <c r="F400" s="32" t="n">
        <v>0.75</v>
      </c>
      <c r="G400" s="57" t="str">
        <v>简繁中文</v>
      </c>
      <c r="H400" s="31" t="n">
        <v>4.14</v>
      </c>
      <c r="I400" s="33" t="n">
        <v>7</v>
      </c>
      <c r="J400" s="34" t="n">
        <v>46288.95763888889</v>
      </c>
      <c r="K400" s="57" t="str">
        <v>未显示收录</v>
      </c>
      <c r="L400" s="59" t="str">
        <v>查看港服</v>
      </c>
      <c r="M400" s="63" t="str"/>
    </row>
    <row r="401" ht="36" customHeight="1">
      <c r="A401" s="56" t="n">
        <v>394</v>
      </c>
      <c r="B401" s="46" t="str">
        <v>Archery Blast</v>
      </c>
      <c r="C401" s="58" t="str">
        <v>PS5</v>
      </c>
      <c r="D401" s="48" t="n">
        <f>ROUND(E401*$B$4,2)</f>
        <v>22.76</v>
      </c>
      <c r="E401" s="49" t="n">
        <v>26.6</v>
      </c>
      <c r="F401" s="50" t="n">
        <v>0.3</v>
      </c>
      <c r="G401" s="58" t="str">
        <v>未列中文</v>
      </c>
      <c r="H401" s="49" t="n">
        <v>1.83</v>
      </c>
      <c r="I401" s="51" t="n">
        <v>6</v>
      </c>
      <c r="J401" s="52" t="n">
        <v>46288.95763888889</v>
      </c>
      <c r="K401" s="58" t="str">
        <v>未显示收录</v>
      </c>
      <c r="L401" s="60" t="str">
        <v>查看港服</v>
      </c>
      <c r="M401" s="64" t="str">
        <v>表列普通折扣价；PS Plus或有额外折扣</v>
      </c>
    </row>
    <row r="402" ht="36" customHeight="1">
      <c r="A402" s="55" t="n">
        <v>395</v>
      </c>
      <c r="B402" s="28" t="str">
        <v>Dreamscapes - Nightmare's Heir</v>
      </c>
      <c r="C402" s="57" t="str">
        <v>PS4</v>
      </c>
      <c r="D402" s="30" t="n">
        <f>ROUND(E402*$B$4,2)</f>
        <v>73.93</v>
      </c>
      <c r="E402" s="31" t="n">
        <v>86.4</v>
      </c>
      <c r="F402" s="32" t="n">
        <v>0.2</v>
      </c>
      <c r="G402" s="57" t="str">
        <v>未列中文</v>
      </c>
      <c r="H402" s="31" t="n">
        <v>3.17</v>
      </c>
      <c r="I402" s="33" t="n">
        <v>6</v>
      </c>
      <c r="J402" s="34" t="n">
        <v>46288.95763888889</v>
      </c>
      <c r="K402" s="57" t="str">
        <v>未显示收录</v>
      </c>
      <c r="L402" s="59" t="str">
        <v>查看港服</v>
      </c>
      <c r="M402" s="63" t="str"/>
    </row>
    <row r="403" ht="36" customHeight="1">
      <c r="A403" s="56" t="n">
        <v>396</v>
      </c>
      <c r="B403" s="46" t="str">
        <v>Drones Attack</v>
      </c>
      <c r="C403" s="58" t="str">
        <v>PS5</v>
      </c>
      <c r="D403" s="48" t="n">
        <f>ROUND(E403*$B$4,2)</f>
        <v>46.72</v>
      </c>
      <c r="E403" s="49" t="n">
        <v>54.6</v>
      </c>
      <c r="F403" s="50" t="n">
        <v>0.3</v>
      </c>
      <c r="G403" s="58" t="str">
        <v>未列中文</v>
      </c>
      <c r="H403" s="49" t="n">
        <v>3.83</v>
      </c>
      <c r="I403" s="51" t="n">
        <v>6</v>
      </c>
      <c r="J403" s="52" t="n">
        <v>46288.95763888889</v>
      </c>
      <c r="K403" s="58" t="str">
        <v>未显示收录</v>
      </c>
      <c r="L403" s="60" t="str">
        <v>查看港服</v>
      </c>
      <c r="M403" s="64" t="str">
        <v>表列普通折扣价；PS Plus或有额外折扣</v>
      </c>
    </row>
    <row r="404" ht="36" customHeight="1">
      <c r="A404" s="55" t="n">
        <v>397</v>
      </c>
      <c r="B404" s="28" t="str">
        <v>Xtreme Traffic Racing</v>
      </c>
      <c r="C404" s="57" t="str">
        <v>PS4</v>
      </c>
      <c r="D404" s="30" t="n">
        <f>ROUND(E404*$B$4,2)</f>
        <v>22.76</v>
      </c>
      <c r="E404" s="31" t="n">
        <v>26.6</v>
      </c>
      <c r="F404" s="32" t="n">
        <v>0.3</v>
      </c>
      <c r="G404" s="57" t="str">
        <v>未列中文</v>
      </c>
      <c r="H404" s="31" t="n">
        <v>2.5</v>
      </c>
      <c r="I404" s="33" t="n">
        <v>6</v>
      </c>
      <c r="J404" s="34" t="n">
        <v>46288.95763888889</v>
      </c>
      <c r="K404" s="57" t="str">
        <v>未显示收录</v>
      </c>
      <c r="L404" s="59" t="str">
        <v>查看港服</v>
      </c>
      <c r="M404" s="63" t="str">
        <v>表列普通折扣价；PS Plus或有额外折扣</v>
      </c>
    </row>
    <row r="405" ht="36" customHeight="1">
      <c r="A405" s="56" t="n">
        <v>398</v>
      </c>
      <c r="B405" s="46" t="str">
        <v>CRYZON part2</v>
      </c>
      <c r="C405" s="58" t="str">
        <v>PS4</v>
      </c>
      <c r="D405" s="48" t="n">
        <f>ROUND(E405*$B$4,2)</f>
        <v>10.78</v>
      </c>
      <c r="E405" s="49" t="n">
        <v>12.6</v>
      </c>
      <c r="F405" s="50" t="n">
        <v>0.3</v>
      </c>
      <c r="G405" s="58" t="str">
        <v>未列中文</v>
      </c>
      <c r="H405" s="49" t="n">
        <v>3.2</v>
      </c>
      <c r="I405" s="51" t="n">
        <v>5</v>
      </c>
      <c r="J405" s="52" t="n">
        <v>46288.95763888889</v>
      </c>
      <c r="K405" s="58" t="str">
        <v>未显示收录</v>
      </c>
      <c r="L405" s="60" t="str">
        <v>查看港服</v>
      </c>
      <c r="M405" s="64" t="str">
        <v>表列普通折扣价；PS Plus或有额外折扣</v>
      </c>
    </row>
    <row r="406" ht="36" customHeight="1">
      <c r="A406" s="55" t="n">
        <v>399</v>
      </c>
      <c r="B406" s="28" t="str">
        <v>Party Saboteurs: After Party</v>
      </c>
      <c r="C406" s="57" t="str">
        <v>PS4</v>
      </c>
      <c r="D406" s="30" t="n">
        <f>ROUND(E406*$B$4,2)</f>
        <v>55.45</v>
      </c>
      <c r="E406" s="31" t="n">
        <v>64.8</v>
      </c>
      <c r="F406" s="32" t="n">
        <v>0.4</v>
      </c>
      <c r="G406" s="57" t="str">
        <v>未列中文</v>
      </c>
      <c r="H406" s="31" t="n">
        <v>4</v>
      </c>
      <c r="I406" s="33" t="n">
        <v>5</v>
      </c>
      <c r="J406" s="34" t="n">
        <v>46288.95763888889</v>
      </c>
      <c r="K406" s="57" t="str">
        <v>未显示收录</v>
      </c>
      <c r="L406" s="59" t="str">
        <v>查看港服</v>
      </c>
      <c r="M406" s="63" t="str">
        <v>表列普通折扣价；PS Plus或有额外折扣</v>
      </c>
    </row>
    <row r="407" ht="36" customHeight="1">
      <c r="A407" s="56" t="n">
        <v>400</v>
      </c>
      <c r="B407" s="46" t="str">
        <v>The Golden Eagle</v>
      </c>
      <c r="C407" s="58" t="str">
        <v>PS4</v>
      </c>
      <c r="D407" s="48" t="n">
        <f>ROUND(E407*$B$4,2)</f>
        <v>22.76</v>
      </c>
      <c r="E407" s="49" t="n">
        <v>26.6</v>
      </c>
      <c r="F407" s="50" t="n">
        <v>0.3</v>
      </c>
      <c r="G407" s="58" t="str">
        <v>未列中文</v>
      </c>
      <c r="H407" s="49" t="n">
        <v>2.8</v>
      </c>
      <c r="I407" s="51" t="n">
        <v>5</v>
      </c>
      <c r="J407" s="52" t="n">
        <v>46288.95763888889</v>
      </c>
      <c r="K407" s="58" t="str">
        <v>未显示收录</v>
      </c>
      <c r="L407" s="60" t="str">
        <v>查看港服</v>
      </c>
      <c r="M407" s="64" t="str">
        <v>表列普通折扣价；PS Plus或有额外折扣</v>
      </c>
    </row>
    <row r="408" ht="36" customHeight="1">
      <c r="A408" s="55" t="n">
        <v>401</v>
      </c>
      <c r="B408" s="28" t="str">
        <v>CRYZON part3</v>
      </c>
      <c r="C408" s="57" t="str">
        <v>PS4</v>
      </c>
      <c r="D408" s="30" t="n">
        <f>ROUND(E408*$B$4,2)</f>
        <v>10.78</v>
      </c>
      <c r="E408" s="31" t="n">
        <v>12.6</v>
      </c>
      <c r="F408" s="32" t="n">
        <v>0.3</v>
      </c>
      <c r="G408" s="57" t="str">
        <v>未列中文</v>
      </c>
      <c r="H408" s="31" t="n">
        <v>4.67</v>
      </c>
      <c r="I408" s="33" t="n">
        <v>3</v>
      </c>
      <c r="J408" s="34" t="n">
        <v>46288.95763888889</v>
      </c>
      <c r="K408" s="57" t="str">
        <v>未显示收录</v>
      </c>
      <c r="L408" s="59" t="str">
        <v>查看港服</v>
      </c>
      <c r="M408" s="63" t="str">
        <v>表列普通折扣价；PS Plus或有额外折扣</v>
      </c>
    </row>
    <row r="409" ht="36" customHeight="1">
      <c r="A409" s="56" t="n">
        <v>402</v>
      </c>
      <c r="B409" s="46" t="str">
        <v>Delivery Dash: Battle Couriers</v>
      </c>
      <c r="C409" s="58" t="str">
        <v>PS4</v>
      </c>
      <c r="D409" s="48" t="n">
        <f>ROUND(E409*$B$4,2)</f>
        <v>69.31</v>
      </c>
      <c r="E409" s="49" t="n">
        <v>81</v>
      </c>
      <c r="F409" s="50" t="n">
        <v>0.25</v>
      </c>
      <c r="G409" s="58" t="str">
        <v>未列中文</v>
      </c>
      <c r="H409" s="49" t="n">
        <v>3</v>
      </c>
      <c r="I409" s="51" t="n">
        <v>3</v>
      </c>
      <c r="J409" s="52" t="n">
        <v>46288.95763888889</v>
      </c>
      <c r="K409" s="58" t="str">
        <v>未显示收录</v>
      </c>
      <c r="L409" s="60" t="str">
        <v>查看港服</v>
      </c>
      <c r="M409" s="64" t="str">
        <v>表列普通折扣价；PS Plus或有额外折扣</v>
      </c>
    </row>
    <row r="410" ht="36" customHeight="1">
      <c r="A410" s="55" t="n">
        <v>403</v>
      </c>
      <c r="B410" s="28" t="str">
        <v>CRYZON part4</v>
      </c>
      <c r="C410" s="57" t="str">
        <v>PS4</v>
      </c>
      <c r="D410" s="30" t="n">
        <f>ROUND(E410*$B$4,2)</f>
        <v>10.78</v>
      </c>
      <c r="E410" s="31" t="n">
        <v>12.6</v>
      </c>
      <c r="F410" s="32" t="n">
        <v>0.3</v>
      </c>
      <c r="G410" s="57" t="str">
        <v>未列中文</v>
      </c>
      <c r="H410" s="31" t="n">
        <v>4.67</v>
      </c>
      <c r="I410" s="33" t="n">
        <v>3</v>
      </c>
      <c r="J410" s="34" t="n">
        <v>46288.95763888889</v>
      </c>
      <c r="K410" s="57" t="str">
        <v>未显示收录</v>
      </c>
      <c r="L410" s="59" t="str">
        <v>查看港服</v>
      </c>
      <c r="M410" s="63" t="str">
        <v>表列普通折扣价；PS Plus或有额外折扣</v>
      </c>
    </row>
    <row r="411" ht="36" customHeight="1">
      <c r="A411" s="56" t="n">
        <v>404</v>
      </c>
      <c r="B411" s="46" t="str">
        <v>The Rise</v>
      </c>
      <c r="C411" s="58" t="str">
        <v>PS4</v>
      </c>
      <c r="D411" s="48" t="n">
        <f>ROUND(E411*$B$4,2)</f>
        <v>40.05</v>
      </c>
      <c r="E411" s="49" t="n">
        <v>46.8</v>
      </c>
      <c r="F411" s="50" t="n">
        <v>0.4</v>
      </c>
      <c r="G411" s="58" t="str">
        <v>简体中文</v>
      </c>
      <c r="H411" s="49" t="n">
        <v>4</v>
      </c>
      <c r="I411" s="51" t="n">
        <v>3</v>
      </c>
      <c r="J411" s="52" t="n">
        <v>46288.95763888889</v>
      </c>
      <c r="K411" s="58" t="str">
        <v>未显示收录</v>
      </c>
      <c r="L411" s="60" t="str">
        <v>查看港服</v>
      </c>
      <c r="M411" s="64" t="str">
        <v>表列普通折扣价；PS Plus或有额外折扣</v>
      </c>
    </row>
    <row r="412" ht="36" customHeight="1">
      <c r="A412" s="55" t="n">
        <v>405</v>
      </c>
      <c r="B412" s="28" t="str">
        <v>Wonders Puzzle</v>
      </c>
      <c r="C412" s="57" t="str">
        <v>PS5</v>
      </c>
      <c r="D412" s="30" t="n">
        <f>ROUND(E412*$B$4,2)</f>
        <v>22.76</v>
      </c>
      <c r="E412" s="31" t="n">
        <v>26.6</v>
      </c>
      <c r="F412" s="32" t="n">
        <v>0.3</v>
      </c>
      <c r="G412" s="57" t="str">
        <v>未列中文</v>
      </c>
      <c r="H412" s="31" t="n">
        <v>4.33</v>
      </c>
      <c r="I412" s="33" t="n">
        <v>3</v>
      </c>
      <c r="J412" s="34" t="n">
        <v>46288.95763888889</v>
      </c>
      <c r="K412" s="57" t="str">
        <v>未显示收录</v>
      </c>
      <c r="L412" s="59" t="str">
        <v>查看港服</v>
      </c>
      <c r="M412" s="63" t="str">
        <v>表列普通折扣价；PS Plus或有额外折扣</v>
      </c>
    </row>
    <row r="413" ht="36" customHeight="1">
      <c r="A413" s="56" t="n">
        <v>406</v>
      </c>
      <c r="B413" s="46" t="str">
        <v>Globs &amp; Ghosts</v>
      </c>
      <c r="C413" s="58" t="str">
        <v>PS4</v>
      </c>
      <c r="D413" s="48" t="n">
        <f>ROUND(E413*$B$4,2)</f>
        <v>22.76</v>
      </c>
      <c r="E413" s="49" t="n">
        <v>26.6</v>
      </c>
      <c r="F413" s="50" t="n">
        <v>0.3</v>
      </c>
      <c r="G413" s="58" t="str">
        <v>未列中文</v>
      </c>
      <c r="H413" s="49" t="n">
        <v>2.33</v>
      </c>
      <c r="I413" s="51" t="n">
        <v>3</v>
      </c>
      <c r="J413" s="52" t="n">
        <v>46288.95763888889</v>
      </c>
      <c r="K413" s="58" t="str">
        <v>未显示收录</v>
      </c>
      <c r="L413" s="60" t="str">
        <v>查看港服</v>
      </c>
      <c r="M413" s="64" t="str">
        <v>表列普通折扣价；PS Plus或有额外折扣</v>
      </c>
    </row>
    <row r="414" ht="36" customHeight="1">
      <c r="A414" s="55" t="n">
        <v>407</v>
      </c>
      <c r="B414" s="28" t="str">
        <v>Tiny Witch</v>
      </c>
      <c r="C414" s="57" t="str">
        <v>PS5</v>
      </c>
      <c r="D414" s="30" t="n">
        <f>ROUND(E414*$B$4,2)</f>
        <v>46.72</v>
      </c>
      <c r="E414" s="31" t="n">
        <v>54.6</v>
      </c>
      <c r="F414" s="32" t="n">
        <v>0.3</v>
      </c>
      <c r="G414" s="57" t="str">
        <v>简体中文</v>
      </c>
      <c r="H414" s="31" t="n">
        <v>1.5</v>
      </c>
      <c r="I414" s="33" t="n">
        <v>2</v>
      </c>
      <c r="J414" s="34" t="n">
        <v>46288.95763888889</v>
      </c>
      <c r="K414" s="57" t="str">
        <v>未显示收录</v>
      </c>
      <c r="L414" s="59" t="str">
        <v>查看港服</v>
      </c>
      <c r="M414" s="63" t="str">
        <v>表列普通折扣价；PS Plus或有额外折扣</v>
      </c>
    </row>
    <row r="415" ht="36" customHeight="1">
      <c r="A415" s="56" t="n">
        <v>408</v>
      </c>
      <c r="B415" s="46" t="str">
        <v>Trials Of Randoom</v>
      </c>
      <c r="C415" s="58" t="str">
        <v>PS4</v>
      </c>
      <c r="D415" s="48" t="n">
        <f>ROUND(E415*$B$4,2)</f>
        <v>40.05</v>
      </c>
      <c r="E415" s="49" t="n">
        <v>46.8</v>
      </c>
      <c r="F415" s="50" t="n">
        <v>0.4</v>
      </c>
      <c r="G415" s="58" t="str">
        <v>未列中文</v>
      </c>
      <c r="H415" s="49" t="n">
        <v>3</v>
      </c>
      <c r="I415" s="51" t="n">
        <v>2</v>
      </c>
      <c r="J415" s="52" t="n">
        <v>46288.95763888889</v>
      </c>
      <c r="K415" s="58" t="str">
        <v>未显示收录</v>
      </c>
      <c r="L415" s="60" t="str">
        <v>查看港服</v>
      </c>
      <c r="M415" s="64" t="str">
        <v>表列普通折扣价；PS Plus或有额外折扣</v>
      </c>
    </row>
    <row r="416" ht="36" customHeight="1">
      <c r="A416" s="55" t="n">
        <v>409</v>
      </c>
      <c r="B416" s="28" t="str">
        <v>Universal Flight Simulator 3 PvP</v>
      </c>
      <c r="C416" s="57" t="str">
        <v>PS4</v>
      </c>
      <c r="D416" s="30" t="n">
        <f>ROUND(E416*$B$4,2)</f>
        <v>88.65</v>
      </c>
      <c r="E416" s="31" t="n">
        <v>103.6</v>
      </c>
      <c r="F416" s="32" t="n">
        <v>0.3</v>
      </c>
      <c r="G416" s="57" t="str">
        <v>未列中文</v>
      </c>
      <c r="H416" s="31" t="n">
        <v>1</v>
      </c>
      <c r="I416" s="33" t="n">
        <v>2</v>
      </c>
      <c r="J416" s="34" t="n">
        <v>46288.95763888889</v>
      </c>
      <c r="K416" s="57" t="str">
        <v>未显示收录</v>
      </c>
      <c r="L416" s="59" t="str">
        <v>查看港服</v>
      </c>
      <c r="M416" s="63" t="str">
        <v>表列普通折扣价；PS Plus或有额外折扣</v>
      </c>
    </row>
    <row r="417" ht="36" customHeight="1">
      <c r="A417" s="56" t="n">
        <v>410</v>
      </c>
      <c r="B417" s="46" t="str">
        <v>Grabitoons!</v>
      </c>
      <c r="C417" s="58" t="str">
        <v>PS5</v>
      </c>
      <c r="D417" s="48" t="n">
        <f>ROUND(E417*$B$4,2)</f>
        <v>43.38</v>
      </c>
      <c r="E417" s="49" t="n">
        <v>50.7</v>
      </c>
      <c r="F417" s="50" t="n">
        <v>0.35</v>
      </c>
      <c r="G417" s="58" t="str">
        <v>未列中文</v>
      </c>
      <c r="H417" s="49" t="n">
        <v>5</v>
      </c>
      <c r="I417" s="51" t="n">
        <v>1</v>
      </c>
      <c r="J417" s="52" t="n">
        <v>46288.95763888889</v>
      </c>
      <c r="K417" s="58" t="str">
        <v>未显示收录</v>
      </c>
      <c r="L417" s="60" t="str">
        <v>查看港服</v>
      </c>
      <c r="M417" s="64" t="str"/>
    </row>
    <row r="418" ht="36" customHeight="1">
      <c r="A418" s="55" t="n">
        <v>411</v>
      </c>
      <c r="B418" s="28" t="str">
        <v>Stickin' the Landing</v>
      </c>
      <c r="C418" s="57" t="str">
        <v>PS4 / PS5</v>
      </c>
      <c r="D418" s="30" t="n">
        <f>ROUND(E418*$B$4,2)</f>
        <v>43.38</v>
      </c>
      <c r="E418" s="31" t="n">
        <v>50.7</v>
      </c>
      <c r="F418" s="32" t="n">
        <v>0.35</v>
      </c>
      <c r="G418" s="57" t="str">
        <v>简繁中文</v>
      </c>
      <c r="H418" s="31"/>
      <c r="I418" s="33" t="n">
        <v>0</v>
      </c>
      <c r="J418" s="34" t="n">
        <v>46288.95763888889</v>
      </c>
      <c r="K418" s="57" t="str">
        <v>未显示收录</v>
      </c>
      <c r="L418" s="59" t="str">
        <v>查看港服</v>
      </c>
      <c r="M418" s="63" t="str"/>
    </row>
    <row r="419" ht="36" customHeight="1">
      <c r="A419" s="56" t="n">
        <v>412</v>
      </c>
      <c r="B419" s="46" t="str">
        <v>The Visitor Effect: Not an experiment</v>
      </c>
      <c r="C419" s="58" t="str">
        <v>PS5</v>
      </c>
      <c r="D419" s="48" t="n">
        <f>ROUND(E419*$B$4,2)</f>
        <v>23.36</v>
      </c>
      <c r="E419" s="49" t="n">
        <v>27.3</v>
      </c>
      <c r="F419" s="50" t="n">
        <v>0.65</v>
      </c>
      <c r="G419" s="58" t="str">
        <v>简繁中文</v>
      </c>
      <c r="H419" s="49"/>
      <c r="I419" s="51" t="n">
        <v>0</v>
      </c>
      <c r="J419" s="52" t="n">
        <v>46288.95763888889</v>
      </c>
      <c r="K419" s="58" t="str">
        <v>未显示收录</v>
      </c>
      <c r="L419" s="60" t="str">
        <v>查看港服</v>
      </c>
      <c r="M419" s="64" t="str">
        <v>表列普通折扣价；PS Plus或有额外折扣</v>
      </c>
    </row>
  </sheetData>
  <conditionalFormatting sqref="D8:D419">
    <cfRule type="cellIs" dxfId="0" priority="1" operator="greaterThanOrEqual">
      <formula>100</formula>
    </cfRule>
  </conditionalFormatting>
  <hyperlinks>
    <hyperlink ref="L8" r:id="rIdWeb1"/>
    <hyperlink ref="L9" r:id="rIdWeb2"/>
    <hyperlink ref="L10" r:id="rIdWeb3"/>
    <hyperlink ref="L11" r:id="rIdWeb4"/>
    <hyperlink ref="L12" r:id="rIdWeb5"/>
    <hyperlink ref="L13" r:id="rIdWeb6"/>
    <hyperlink ref="L14" r:id="rIdWeb7"/>
    <hyperlink ref="L15" r:id="rIdWeb8"/>
    <hyperlink ref="L16" r:id="rIdWeb9"/>
    <hyperlink ref="L17" r:id="rIdWeb10"/>
    <hyperlink ref="L18" r:id="rIdWeb11"/>
    <hyperlink ref="L19" r:id="rIdWeb12"/>
    <hyperlink ref="L20" r:id="rIdWeb13"/>
    <hyperlink ref="L21" r:id="rIdWeb14"/>
    <hyperlink ref="L22" r:id="rIdWeb15"/>
    <hyperlink ref="L23" r:id="rIdWeb16"/>
    <hyperlink ref="L24" r:id="rIdWeb17"/>
    <hyperlink ref="L25" r:id="rIdWeb18"/>
    <hyperlink ref="L26" r:id="rIdWeb19"/>
    <hyperlink ref="L27" r:id="rIdWeb20"/>
    <hyperlink ref="L28" r:id="rIdWeb21"/>
    <hyperlink ref="L29" r:id="rIdWeb22"/>
    <hyperlink ref="L30" r:id="rIdWeb23"/>
    <hyperlink ref="L31" r:id="rIdWeb24"/>
    <hyperlink ref="L32" r:id="rIdWeb25"/>
    <hyperlink ref="L33" r:id="rIdWeb26"/>
    <hyperlink ref="L34" r:id="rIdWeb27"/>
    <hyperlink ref="L35" r:id="rIdWeb28"/>
    <hyperlink ref="L36" r:id="rIdWeb29"/>
    <hyperlink ref="L37" r:id="rIdWeb30"/>
    <hyperlink ref="L38" r:id="rIdWeb31"/>
    <hyperlink ref="L39" r:id="rIdWeb32"/>
    <hyperlink ref="L40" r:id="rIdWeb33"/>
    <hyperlink ref="L41" r:id="rIdWeb34"/>
    <hyperlink ref="L42" r:id="rIdWeb35"/>
    <hyperlink ref="L43" r:id="rIdWeb36"/>
    <hyperlink ref="L44" r:id="rIdWeb37"/>
    <hyperlink ref="L45" r:id="rIdWeb38"/>
    <hyperlink ref="L46" r:id="rIdWeb39"/>
    <hyperlink ref="L47" r:id="rIdWeb40"/>
    <hyperlink ref="L48" r:id="rIdWeb41"/>
    <hyperlink ref="L49" r:id="rIdWeb42"/>
    <hyperlink ref="L50" r:id="rIdWeb43"/>
    <hyperlink ref="L51" r:id="rIdWeb44"/>
    <hyperlink ref="L52" r:id="rIdWeb45"/>
    <hyperlink ref="L53" r:id="rIdWeb46"/>
    <hyperlink ref="L54" r:id="rIdWeb47"/>
    <hyperlink ref="L55" r:id="rIdWeb48"/>
    <hyperlink ref="L56" r:id="rIdWeb49"/>
    <hyperlink ref="L57" r:id="rIdWeb50"/>
    <hyperlink ref="L58" r:id="rIdWeb51"/>
    <hyperlink ref="L59" r:id="rIdWeb52"/>
    <hyperlink ref="L60" r:id="rIdWeb53"/>
    <hyperlink ref="L61" r:id="rIdWeb54"/>
    <hyperlink ref="L62" r:id="rIdWeb55"/>
    <hyperlink ref="L63" r:id="rIdWeb56"/>
    <hyperlink ref="L64" r:id="rIdWeb57"/>
    <hyperlink ref="L65" r:id="rIdWeb58"/>
    <hyperlink ref="L66" r:id="rIdWeb59"/>
    <hyperlink ref="L67" r:id="rIdWeb60"/>
    <hyperlink ref="L68" r:id="rIdWeb61"/>
    <hyperlink ref="L69" r:id="rIdWeb62"/>
    <hyperlink ref="L70" r:id="rIdWeb63"/>
    <hyperlink ref="L71" r:id="rIdWeb64"/>
    <hyperlink ref="L72" r:id="rIdWeb65"/>
    <hyperlink ref="L73" r:id="rIdWeb66"/>
    <hyperlink ref="L74" r:id="rIdWeb67"/>
    <hyperlink ref="L75" r:id="rIdWeb68"/>
    <hyperlink ref="L76" r:id="rIdWeb69"/>
    <hyperlink ref="L77" r:id="rIdWeb70"/>
    <hyperlink ref="L78" r:id="rIdWeb71"/>
    <hyperlink ref="L79" r:id="rIdWeb72"/>
    <hyperlink ref="L80" r:id="rIdWeb73"/>
    <hyperlink ref="L81" r:id="rIdWeb74"/>
    <hyperlink ref="L82" r:id="rIdWeb75"/>
    <hyperlink ref="L83" r:id="rIdWeb76"/>
    <hyperlink ref="L84" r:id="rIdWeb77"/>
    <hyperlink ref="L85" r:id="rIdWeb78"/>
    <hyperlink ref="L86" r:id="rIdWeb79"/>
    <hyperlink ref="L87" r:id="rIdWeb80"/>
    <hyperlink ref="L88" r:id="rIdWeb81"/>
    <hyperlink ref="L89" r:id="rIdWeb82"/>
    <hyperlink ref="L90" r:id="rIdWeb83"/>
    <hyperlink ref="L91" r:id="rIdWeb84"/>
    <hyperlink ref="L92" r:id="rIdWeb85"/>
    <hyperlink ref="L93" r:id="rIdWeb86"/>
    <hyperlink ref="L94" r:id="rIdWeb87"/>
    <hyperlink ref="L95" r:id="rIdWeb88"/>
    <hyperlink ref="L96" r:id="rIdWeb89"/>
    <hyperlink ref="L97" r:id="rIdWeb90"/>
    <hyperlink ref="L98" r:id="rIdWeb91"/>
    <hyperlink ref="L99" r:id="rIdWeb92"/>
    <hyperlink ref="L100" r:id="rIdWeb93"/>
    <hyperlink ref="L101" r:id="rIdWeb94"/>
    <hyperlink ref="L102" r:id="rIdWeb95"/>
    <hyperlink ref="L103" r:id="rIdWeb96"/>
    <hyperlink ref="L104" r:id="rIdWeb97"/>
    <hyperlink ref="L105" r:id="rIdWeb98"/>
    <hyperlink ref="L106" r:id="rIdWeb99"/>
    <hyperlink ref="L107" r:id="rIdWeb100"/>
    <hyperlink ref="L108" r:id="rIdWeb101"/>
    <hyperlink ref="L109" r:id="rIdWeb102"/>
    <hyperlink ref="L110" r:id="rIdWeb103"/>
    <hyperlink ref="L111" r:id="rIdWeb104"/>
    <hyperlink ref="L112" r:id="rIdWeb105"/>
    <hyperlink ref="L113" r:id="rIdWeb106"/>
    <hyperlink ref="L114" r:id="rIdWeb107"/>
    <hyperlink ref="L115" r:id="rIdWeb108"/>
    <hyperlink ref="L116" r:id="rIdWeb109"/>
    <hyperlink ref="L117" r:id="rIdWeb110"/>
    <hyperlink ref="L118" r:id="rIdWeb111"/>
    <hyperlink ref="L119" r:id="rIdWeb112"/>
    <hyperlink ref="L120" r:id="rIdWeb113"/>
    <hyperlink ref="L121" r:id="rIdWeb114"/>
    <hyperlink ref="L122" r:id="rIdWeb115"/>
    <hyperlink ref="L123" r:id="rIdWeb116"/>
    <hyperlink ref="L124" r:id="rIdWeb117"/>
    <hyperlink ref="L125" r:id="rIdWeb118"/>
    <hyperlink ref="L126" r:id="rIdWeb119"/>
    <hyperlink ref="L127" r:id="rIdWeb120"/>
    <hyperlink ref="L128" r:id="rIdWeb121"/>
    <hyperlink ref="L129" r:id="rIdWeb122"/>
    <hyperlink ref="L130" r:id="rIdWeb123"/>
    <hyperlink ref="L131" r:id="rIdWeb124"/>
    <hyperlink ref="L132" r:id="rIdWeb125"/>
    <hyperlink ref="L133" r:id="rIdWeb126"/>
    <hyperlink ref="L134" r:id="rIdWeb127"/>
    <hyperlink ref="L135" r:id="rIdWeb128"/>
    <hyperlink ref="L136" r:id="rIdWeb129"/>
    <hyperlink ref="L137" r:id="rIdWeb130"/>
    <hyperlink ref="L138" r:id="rIdWeb131"/>
    <hyperlink ref="L139" r:id="rIdWeb132"/>
    <hyperlink ref="L140" r:id="rIdWeb133"/>
    <hyperlink ref="L141" r:id="rIdWeb134"/>
    <hyperlink ref="L142" r:id="rIdWeb135"/>
    <hyperlink ref="L143" r:id="rIdWeb136"/>
    <hyperlink ref="L144" r:id="rIdWeb137"/>
    <hyperlink ref="L145" r:id="rIdWeb138"/>
    <hyperlink ref="L146" r:id="rIdWeb139"/>
    <hyperlink ref="L147" r:id="rIdWeb140"/>
    <hyperlink ref="L148" r:id="rIdWeb141"/>
    <hyperlink ref="L149" r:id="rIdWeb142"/>
    <hyperlink ref="L150" r:id="rIdWeb143"/>
    <hyperlink ref="L151" r:id="rIdWeb144"/>
    <hyperlink ref="L152" r:id="rIdWeb145"/>
    <hyperlink ref="L153" r:id="rIdWeb146"/>
    <hyperlink ref="L154" r:id="rIdWeb147"/>
    <hyperlink ref="L155" r:id="rIdWeb148"/>
    <hyperlink ref="L156" r:id="rIdWeb149"/>
    <hyperlink ref="L157" r:id="rIdWeb150"/>
    <hyperlink ref="L158" r:id="rIdWeb151"/>
    <hyperlink ref="L159" r:id="rIdWeb152"/>
    <hyperlink ref="L160" r:id="rIdWeb153"/>
    <hyperlink ref="L161" r:id="rIdWeb154"/>
    <hyperlink ref="L162" r:id="rIdWeb155"/>
    <hyperlink ref="L163" r:id="rIdWeb156"/>
    <hyperlink ref="L164" r:id="rIdWeb157"/>
    <hyperlink ref="L165" r:id="rIdWeb158"/>
    <hyperlink ref="L166" r:id="rIdWeb159"/>
    <hyperlink ref="L167" r:id="rIdWeb160"/>
    <hyperlink ref="L168" r:id="rIdWeb161"/>
    <hyperlink ref="L169" r:id="rIdWeb162"/>
    <hyperlink ref="L170" r:id="rIdWeb163"/>
    <hyperlink ref="L171" r:id="rIdWeb164"/>
    <hyperlink ref="L172" r:id="rIdWeb165"/>
    <hyperlink ref="L173" r:id="rIdWeb166"/>
    <hyperlink ref="L174" r:id="rIdWeb167"/>
    <hyperlink ref="L175" r:id="rIdWeb168"/>
    <hyperlink ref="L176" r:id="rIdWeb169"/>
    <hyperlink ref="L177" r:id="rIdWeb170"/>
    <hyperlink ref="L178" r:id="rIdWeb171"/>
    <hyperlink ref="L179" r:id="rIdWeb172"/>
    <hyperlink ref="L180" r:id="rIdWeb173"/>
    <hyperlink ref="L181" r:id="rIdWeb174"/>
    <hyperlink ref="L182" r:id="rIdWeb175"/>
    <hyperlink ref="L183" r:id="rIdWeb176"/>
    <hyperlink ref="L184" r:id="rIdWeb177"/>
    <hyperlink ref="L185" r:id="rIdWeb178"/>
    <hyperlink ref="L186" r:id="rIdWeb179"/>
    <hyperlink ref="L187" r:id="rIdWeb180"/>
    <hyperlink ref="L188" r:id="rIdWeb181"/>
    <hyperlink ref="L189" r:id="rIdWeb182"/>
    <hyperlink ref="L190" r:id="rIdWeb183"/>
    <hyperlink ref="L191" r:id="rIdWeb184"/>
    <hyperlink ref="L192" r:id="rIdWeb185"/>
    <hyperlink ref="L193" r:id="rIdWeb186"/>
    <hyperlink ref="L194" r:id="rIdWeb187"/>
    <hyperlink ref="L195" r:id="rIdWeb188"/>
    <hyperlink ref="L196" r:id="rIdWeb189"/>
    <hyperlink ref="L197" r:id="rIdWeb190"/>
    <hyperlink ref="L198" r:id="rIdWeb191"/>
    <hyperlink ref="L199" r:id="rIdWeb192"/>
    <hyperlink ref="L200" r:id="rIdWeb193"/>
    <hyperlink ref="L201" r:id="rIdWeb194"/>
    <hyperlink ref="L202" r:id="rIdWeb195"/>
    <hyperlink ref="L203" r:id="rIdWeb196"/>
    <hyperlink ref="L204" r:id="rIdWeb197"/>
    <hyperlink ref="L205" r:id="rIdWeb198"/>
    <hyperlink ref="L206" r:id="rIdWeb199"/>
    <hyperlink ref="L207" r:id="rIdWeb200"/>
    <hyperlink ref="L208" r:id="rIdWeb201"/>
    <hyperlink ref="L209" r:id="rIdWeb202"/>
    <hyperlink ref="L210" r:id="rIdWeb203"/>
    <hyperlink ref="L211" r:id="rIdWeb204"/>
    <hyperlink ref="L212" r:id="rIdWeb205"/>
    <hyperlink ref="L213" r:id="rIdWeb206"/>
    <hyperlink ref="L214" r:id="rIdWeb207"/>
    <hyperlink ref="L215" r:id="rIdWeb208"/>
    <hyperlink ref="L216" r:id="rIdWeb209"/>
    <hyperlink ref="L217" r:id="rIdWeb210"/>
    <hyperlink ref="L218" r:id="rIdWeb211"/>
    <hyperlink ref="L219" r:id="rIdWeb212"/>
    <hyperlink ref="L220" r:id="rIdWeb213"/>
    <hyperlink ref="L221" r:id="rIdWeb214"/>
    <hyperlink ref="L222" r:id="rIdWeb215"/>
    <hyperlink ref="L223" r:id="rIdWeb216"/>
    <hyperlink ref="L224" r:id="rIdWeb217"/>
    <hyperlink ref="L225" r:id="rIdWeb218"/>
    <hyperlink ref="L226" r:id="rIdWeb219"/>
    <hyperlink ref="L227" r:id="rIdWeb220"/>
    <hyperlink ref="L228" r:id="rIdWeb221"/>
    <hyperlink ref="L229" r:id="rIdWeb222"/>
    <hyperlink ref="L230" r:id="rIdWeb223"/>
    <hyperlink ref="L231" r:id="rIdWeb224"/>
    <hyperlink ref="L232" r:id="rIdWeb225"/>
    <hyperlink ref="L233" r:id="rIdWeb226"/>
    <hyperlink ref="L234" r:id="rIdWeb227"/>
    <hyperlink ref="L235" r:id="rIdWeb228"/>
    <hyperlink ref="L236" r:id="rIdWeb229"/>
    <hyperlink ref="L237" r:id="rIdWeb230"/>
    <hyperlink ref="L238" r:id="rIdWeb231"/>
    <hyperlink ref="L239" r:id="rIdWeb232"/>
    <hyperlink ref="L240" r:id="rIdWeb233"/>
    <hyperlink ref="L241" r:id="rIdWeb234"/>
    <hyperlink ref="L242" r:id="rIdWeb235"/>
    <hyperlink ref="L243" r:id="rIdWeb236"/>
    <hyperlink ref="L244" r:id="rIdWeb237"/>
    <hyperlink ref="L245" r:id="rIdWeb238"/>
    <hyperlink ref="L246" r:id="rIdWeb239"/>
    <hyperlink ref="L247" r:id="rIdWeb240"/>
    <hyperlink ref="L248" r:id="rIdWeb241"/>
    <hyperlink ref="L249" r:id="rIdWeb242"/>
    <hyperlink ref="L250" r:id="rIdWeb243"/>
    <hyperlink ref="L251" r:id="rIdWeb244"/>
    <hyperlink ref="L252" r:id="rIdWeb245"/>
    <hyperlink ref="L253" r:id="rIdWeb246"/>
    <hyperlink ref="L254" r:id="rIdWeb247"/>
    <hyperlink ref="L255" r:id="rIdWeb248"/>
    <hyperlink ref="L256" r:id="rIdWeb249"/>
    <hyperlink ref="L257" r:id="rIdWeb250"/>
    <hyperlink ref="L258" r:id="rIdWeb251"/>
    <hyperlink ref="L259" r:id="rIdWeb252"/>
    <hyperlink ref="L260" r:id="rIdWeb253"/>
    <hyperlink ref="L261" r:id="rIdWeb254"/>
    <hyperlink ref="L262" r:id="rIdWeb255"/>
    <hyperlink ref="L263" r:id="rIdWeb256"/>
    <hyperlink ref="L264" r:id="rIdWeb257"/>
    <hyperlink ref="L265" r:id="rIdWeb258"/>
    <hyperlink ref="L266" r:id="rIdWeb259"/>
    <hyperlink ref="L267" r:id="rIdWeb260"/>
    <hyperlink ref="L268" r:id="rIdWeb261"/>
    <hyperlink ref="L269" r:id="rIdWeb262"/>
    <hyperlink ref="L270" r:id="rIdWeb263"/>
    <hyperlink ref="L271" r:id="rIdWeb264"/>
    <hyperlink ref="L272" r:id="rIdWeb265"/>
    <hyperlink ref="L273" r:id="rIdWeb266"/>
    <hyperlink ref="L274" r:id="rIdWeb267"/>
    <hyperlink ref="L275" r:id="rIdWeb268"/>
    <hyperlink ref="L276" r:id="rIdWeb269"/>
    <hyperlink ref="L277" r:id="rIdWeb270"/>
    <hyperlink ref="L278" r:id="rIdWeb271"/>
    <hyperlink ref="L279" r:id="rIdWeb272"/>
    <hyperlink ref="L280" r:id="rIdWeb273"/>
    <hyperlink ref="L281" r:id="rIdWeb274"/>
    <hyperlink ref="L282" r:id="rIdWeb275"/>
    <hyperlink ref="L283" r:id="rIdWeb276"/>
    <hyperlink ref="L284" r:id="rIdWeb277"/>
    <hyperlink ref="L285" r:id="rIdWeb278"/>
    <hyperlink ref="L286" r:id="rIdWeb279"/>
    <hyperlink ref="L287" r:id="rIdWeb280"/>
    <hyperlink ref="L288" r:id="rIdWeb281"/>
    <hyperlink ref="L289" r:id="rIdWeb282"/>
    <hyperlink ref="L290" r:id="rIdWeb283"/>
    <hyperlink ref="L291" r:id="rIdWeb284"/>
    <hyperlink ref="L292" r:id="rIdWeb285"/>
    <hyperlink ref="L293" r:id="rIdWeb286"/>
    <hyperlink ref="L294" r:id="rIdWeb287"/>
    <hyperlink ref="L295" r:id="rIdWeb288"/>
    <hyperlink ref="L296" r:id="rIdWeb289"/>
    <hyperlink ref="L297" r:id="rIdWeb290"/>
    <hyperlink ref="L298" r:id="rIdWeb291"/>
    <hyperlink ref="L299" r:id="rIdWeb292"/>
    <hyperlink ref="L300" r:id="rIdWeb293"/>
    <hyperlink ref="L301" r:id="rIdWeb294"/>
    <hyperlink ref="L302" r:id="rIdWeb295"/>
    <hyperlink ref="L303" r:id="rIdWeb296"/>
    <hyperlink ref="L304" r:id="rIdWeb297"/>
    <hyperlink ref="L305" r:id="rIdWeb298"/>
    <hyperlink ref="L306" r:id="rIdWeb299"/>
    <hyperlink ref="L307" r:id="rIdWeb300"/>
    <hyperlink ref="L308" r:id="rIdWeb301"/>
    <hyperlink ref="L309" r:id="rIdWeb302"/>
    <hyperlink ref="L310" r:id="rIdWeb303"/>
    <hyperlink ref="L311" r:id="rIdWeb304"/>
    <hyperlink ref="L312" r:id="rIdWeb305"/>
    <hyperlink ref="L313" r:id="rIdWeb306"/>
    <hyperlink ref="L314" r:id="rIdWeb307"/>
    <hyperlink ref="L315" r:id="rIdWeb308"/>
    <hyperlink ref="L316" r:id="rIdWeb309"/>
    <hyperlink ref="L317" r:id="rIdWeb310"/>
    <hyperlink ref="L318" r:id="rIdWeb311"/>
    <hyperlink ref="L319" r:id="rIdWeb312"/>
    <hyperlink ref="L320" r:id="rIdWeb313"/>
    <hyperlink ref="L321" r:id="rIdWeb314"/>
    <hyperlink ref="L322" r:id="rIdWeb315"/>
    <hyperlink ref="L323" r:id="rIdWeb316"/>
    <hyperlink ref="L324" r:id="rIdWeb317"/>
    <hyperlink ref="L325" r:id="rIdWeb318"/>
    <hyperlink ref="L326" r:id="rIdWeb319"/>
    <hyperlink ref="L327" r:id="rIdWeb320"/>
    <hyperlink ref="L328" r:id="rIdWeb321"/>
    <hyperlink ref="L329" r:id="rIdWeb322"/>
    <hyperlink ref="L330" r:id="rIdWeb323"/>
    <hyperlink ref="L331" r:id="rIdWeb324"/>
    <hyperlink ref="L332" r:id="rIdWeb325"/>
    <hyperlink ref="L333" r:id="rIdWeb326"/>
    <hyperlink ref="L334" r:id="rIdWeb327"/>
    <hyperlink ref="L335" r:id="rIdWeb328"/>
    <hyperlink ref="L336" r:id="rIdWeb329"/>
    <hyperlink ref="L337" r:id="rIdWeb330"/>
    <hyperlink ref="L338" r:id="rIdWeb331"/>
    <hyperlink ref="L339" r:id="rIdWeb332"/>
    <hyperlink ref="L340" r:id="rIdWeb333"/>
    <hyperlink ref="L341" r:id="rIdWeb334"/>
    <hyperlink ref="L342" r:id="rIdWeb335"/>
    <hyperlink ref="L343" r:id="rIdWeb336"/>
    <hyperlink ref="L344" r:id="rIdWeb337"/>
    <hyperlink ref="L345" r:id="rIdWeb338"/>
    <hyperlink ref="L346" r:id="rIdWeb339"/>
    <hyperlink ref="L347" r:id="rIdWeb340"/>
    <hyperlink ref="L348" r:id="rIdWeb341"/>
    <hyperlink ref="L349" r:id="rIdWeb342"/>
    <hyperlink ref="L350" r:id="rIdWeb343"/>
    <hyperlink ref="L351" r:id="rIdWeb344"/>
    <hyperlink ref="L352" r:id="rIdWeb345"/>
    <hyperlink ref="L353" r:id="rIdWeb346"/>
    <hyperlink ref="L354" r:id="rIdWeb347"/>
    <hyperlink ref="L355" r:id="rIdWeb348"/>
    <hyperlink ref="L356" r:id="rIdWeb349"/>
    <hyperlink ref="L357" r:id="rIdWeb350"/>
    <hyperlink ref="L358" r:id="rIdWeb351"/>
    <hyperlink ref="L359" r:id="rIdWeb352"/>
    <hyperlink ref="L360" r:id="rIdWeb353"/>
    <hyperlink ref="L361" r:id="rIdWeb354"/>
    <hyperlink ref="L362" r:id="rIdWeb355"/>
    <hyperlink ref="L363" r:id="rIdWeb356"/>
    <hyperlink ref="L364" r:id="rIdWeb357"/>
    <hyperlink ref="L365" r:id="rIdWeb358"/>
    <hyperlink ref="L366" r:id="rIdWeb359"/>
    <hyperlink ref="L367" r:id="rIdWeb360"/>
    <hyperlink ref="L368" r:id="rIdWeb361"/>
    <hyperlink ref="L369" r:id="rIdWeb362"/>
    <hyperlink ref="L370" r:id="rIdWeb363"/>
    <hyperlink ref="L371" r:id="rIdWeb364"/>
    <hyperlink ref="L372" r:id="rIdWeb365"/>
    <hyperlink ref="L373" r:id="rIdWeb366"/>
    <hyperlink ref="L374" r:id="rIdWeb367"/>
    <hyperlink ref="L375" r:id="rIdWeb368"/>
    <hyperlink ref="L376" r:id="rIdWeb369"/>
    <hyperlink ref="L377" r:id="rIdWeb370"/>
    <hyperlink ref="L378" r:id="rIdWeb371"/>
    <hyperlink ref="L379" r:id="rIdWeb372"/>
    <hyperlink ref="L380" r:id="rIdWeb373"/>
    <hyperlink ref="L381" r:id="rIdWeb374"/>
    <hyperlink ref="L382" r:id="rIdWeb375"/>
    <hyperlink ref="L383" r:id="rIdWeb376"/>
    <hyperlink ref="L384" r:id="rIdWeb377"/>
    <hyperlink ref="L385" r:id="rIdWeb378"/>
    <hyperlink ref="L386" r:id="rIdWeb379"/>
    <hyperlink ref="L387" r:id="rIdWeb380"/>
    <hyperlink ref="L388" r:id="rIdWeb381"/>
    <hyperlink ref="L389" r:id="rIdWeb382"/>
    <hyperlink ref="L390" r:id="rIdWeb383"/>
    <hyperlink ref="L391" r:id="rIdWeb384"/>
    <hyperlink ref="L392" r:id="rIdWeb385"/>
    <hyperlink ref="L393" r:id="rIdWeb386"/>
    <hyperlink ref="L394" r:id="rIdWeb387"/>
    <hyperlink ref="L395" r:id="rIdWeb388"/>
    <hyperlink ref="L396" r:id="rIdWeb389"/>
    <hyperlink ref="L397" r:id="rIdWeb390"/>
    <hyperlink ref="L398" r:id="rIdWeb391"/>
    <hyperlink ref="L399" r:id="rIdWeb392"/>
    <hyperlink ref="L400" r:id="rIdWeb393"/>
    <hyperlink ref="L401" r:id="rIdWeb394"/>
    <hyperlink ref="L402" r:id="rIdWeb395"/>
    <hyperlink ref="L403" r:id="rIdWeb396"/>
    <hyperlink ref="L404" r:id="rIdWeb397"/>
    <hyperlink ref="L405" r:id="rIdWeb398"/>
    <hyperlink ref="L406" r:id="rIdWeb399"/>
    <hyperlink ref="L407" r:id="rIdWeb400"/>
    <hyperlink ref="L408" r:id="rIdWeb401"/>
    <hyperlink ref="L409" r:id="rIdWeb402"/>
    <hyperlink ref="L410" r:id="rIdWeb403"/>
    <hyperlink ref="L411" r:id="rIdWeb404"/>
    <hyperlink ref="L412" r:id="rIdWeb405"/>
    <hyperlink ref="L413" r:id="rIdWeb406"/>
    <hyperlink ref="L414" r:id="rIdWeb407"/>
    <hyperlink ref="L415" r:id="rIdWeb408"/>
    <hyperlink ref="L416" r:id="rIdWeb409"/>
    <hyperlink ref="L417" r:id="rIdWeb410"/>
    <hyperlink ref="L418" r:id="rIdWeb411"/>
    <hyperlink ref="L419" r:id="rIdWeb412"/>
    <hyperlink ref="G4" r:id="rIdWeb413"/>
  </hyperlinks>
  <pageMargins left="0.7" right="0.7" top="0.75" bottom="0.75" header="0.3" footer="0.3"/>
  <tableParts count="1">
    <tablePart r:id="R295beed195204ce6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78496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5.329999923706055" hidden="0" customWidth="1"/>
    <col min="2" max="2" width="58.88999938964844" hidden="0" customWidth="1"/>
    <col min="3" max="3" width="12.220000267028809" hidden="0" customWidth="1"/>
    <col min="4" max="4" width="11.109999656677246" hidden="0" customWidth="1"/>
    <col min="5" max="5" width="11.109999656677246" hidden="0" customWidth="1"/>
    <col min="6" max="6" width="37.779998779296875" hidden="0" customWidth="1"/>
    <col min="7" max="7" width="11.109999656677246" hidden="0" customWidth="1"/>
  </cols>
  <sheetData>
    <row r="1" ht="29" customHeight="1">
      <c r="A1" s="2"/>
      <c r="B1" s="2"/>
      <c r="C1" s="2"/>
      <c r="D1" s="2"/>
      <c r="E1" s="2"/>
      <c r="F1" s="2"/>
      <c r="G1" s="2"/>
    </row>
    <row r="2" ht="29" customHeight="1">
      <c r="A2" s="3" t="str">
        <v>已核对但未列入的商品</v>
      </c>
      <c r="B2" s="2"/>
      <c r="C2" s="2"/>
      <c r="D2" s="2"/>
      <c r="E2" s="2"/>
      <c r="F2" s="2"/>
      <c r="G2" s="2"/>
    </row>
    <row r="3" ht="29" customHeight="1">
      <c r="A3" s="2" t="str">
        <v>保留二档收录、当前无折扣等排除原因，方便复查；此页不是完整的已玩游戏列表。</v>
      </c>
      <c r="B3" s="2"/>
      <c r="C3" s="2"/>
      <c r="D3" s="2"/>
      <c r="E3" s="2"/>
      <c r="F3" s="2"/>
      <c r="G3" s="2"/>
    </row>
    <row r="4" ht="29" customHeight="1">
      <c r="A4" s="2" t="str">
        <v>已玩判定来源：TP Play同步的334条奖杯记录，2026-09-10 13:16（北京时间）。</v>
      </c>
      <c r="B4" s="2"/>
      <c r="C4" s="2"/>
      <c r="D4" s="2"/>
      <c r="E4" s="2"/>
      <c r="F4" s="2"/>
      <c r="G4" s="2"/>
    </row>
    <row r="5" ht="29" customHeight="1">
      <c r="A5" s="2" t="str">
        <v>同一作品的不同版本分别核价；标准版未打折时，符合条件的豪华版可能在「可买清单」。</v>
      </c>
      <c r="B5" s="2"/>
      <c r="C5" s="2"/>
      <c r="D5" s="2"/>
      <c r="E5" s="2"/>
      <c r="F5" s="2"/>
      <c r="G5" s="2"/>
    </row>
    <row r="6" ht="29" customHeight="1">
      <c r="A6" s="2" t="str">
        <v>扩充范围：TGS目录685项，预算初筛去重411项，已核查411项。未覆盖港服全促销目录。</v>
      </c>
      <c r="B6" s="2"/>
      <c r="C6" s="2"/>
      <c r="D6" s="2"/>
      <c r="E6" s="2"/>
      <c r="F6" s="2"/>
      <c r="G6" s="2"/>
    </row>
    <row r="7" ht="32" customHeight="1">
      <c r="A7" s="12" t="str">
        <v>序号</v>
      </c>
      <c r="B7" s="12" t="str">
        <v>商品名称</v>
      </c>
      <c r="C7" s="12" t="str">
        <v>平台</v>
      </c>
      <c r="D7" s="12" t="str">
        <v>当前港币</v>
      </c>
      <c r="E7" s="12" t="str">
        <v>约人民币</v>
      </c>
      <c r="F7" s="12" t="str">
        <v>排除原因</v>
      </c>
      <c r="G7" s="12" t="str">
        <v>来源</v>
      </c>
    </row>
    <row r="8" ht="46" customHeight="1">
      <c r="A8" s="55" t="n">
        <v>1</v>
      </c>
      <c r="B8" s="28" t="str">
        <v>ACE COMBAT™ 7: SKIES UNKNOWN (中韓文版)</v>
      </c>
      <c r="C8" s="29" t="str">
        <v>PS4</v>
      </c>
      <c r="D8" s="31" t="n">
        <v>489</v>
      </c>
      <c r="E8" s="31" t="n">
        <f>ROUND(D8*'可买清单'!$B$4,2)</f>
        <v>418.44</v>
      </c>
      <c r="F8" s="29" t="str">
        <v>当前商品未显示有效限时折扣</v>
      </c>
      <c r="G8" s="67" t="str">
        <v>查看港服</v>
      </c>
    </row>
    <row r="9" ht="46" customHeight="1">
      <c r="A9" s="56" t="n">
        <v>2</v>
      </c>
      <c r="B9" s="46" t="str">
        <v>Dragon's Dogma: Dark Arisen (中日英文版)</v>
      </c>
      <c r="C9" s="47" t="str">
        <v>PS4</v>
      </c>
      <c r="D9" s="49" t="n">
        <v>228</v>
      </c>
      <c r="E9" s="49" t="n">
        <f>ROUND(D9*'可买清单'!$B$4,2)</f>
        <v>195.1</v>
      </c>
      <c r="F9" s="47" t="str">
        <v>当前商品未显示有效限时折扣</v>
      </c>
      <c r="G9" s="68" t="str">
        <v>查看港服</v>
      </c>
    </row>
    <row r="10" ht="46" customHeight="1">
      <c r="A10" s="55" t="n">
        <v>3</v>
      </c>
      <c r="B10" s="28" t="str">
        <v>宵星傳奇 REMASTER (中韓文版)</v>
      </c>
      <c r="C10" s="29" t="str">
        <v>PS4</v>
      </c>
      <c r="D10" s="31" t="n">
        <v>399</v>
      </c>
      <c r="E10" s="31" t="n">
        <f>ROUND(D10*'可买清单'!$B$4,2)</f>
        <v>341.42</v>
      </c>
      <c r="F10" s="29" t="str">
        <v>当前商品未显示有效限时折扣</v>
      </c>
      <c r="G10" s="67" t="str">
        <v>查看港服</v>
      </c>
    </row>
    <row r="11" ht="46" customHeight="1">
      <c r="A11" s="56" t="n">
        <v>4</v>
      </c>
      <c r="B11" s="46" t="str">
        <v>INDIKA (簡體中文, 英文, 繁體中文, 日文)</v>
      </c>
      <c r="C11" s="47" t="str">
        <v>PS5</v>
      </c>
      <c r="D11" s="49" t="n">
        <v>69.3</v>
      </c>
      <c r="E11" s="49" t="n">
        <f>ROUND(D11*'可买清单'!$B$4,2)</f>
        <v>59.3</v>
      </c>
      <c r="F11" s="47" t="str">
        <v>二档游戏库收录（含本体权益）</v>
      </c>
      <c r="G11" s="68" t="str">
        <v>查看港服</v>
      </c>
    </row>
    <row r="12" ht="46" customHeight="1">
      <c r="A12" s="55" t="n">
        <v>5</v>
      </c>
      <c r="B12" s="28" t="str">
        <v>Sleeping Dogs™ Definitive Edition 製品版 (中韓文版)</v>
      </c>
      <c r="C12" s="29" t="str">
        <v>PS4</v>
      </c>
      <c r="D12" s="31" t="n">
        <v>198</v>
      </c>
      <c r="E12" s="31" t="n">
        <f>ROUND(D12*'可买清单'!$B$4,2)</f>
        <v>169.43</v>
      </c>
      <c r="F12" s="29" t="str">
        <v>当前商品未显示有效限时折扣</v>
      </c>
      <c r="G12" s="67" t="str">
        <v>查看港服</v>
      </c>
    </row>
    <row r="13" ht="46" customHeight="1">
      <c r="A13" s="56" t="n">
        <v>6</v>
      </c>
      <c r="B13" s="46" t="str">
        <v>《喋血復仇：標準版》PS4 &amp; PS5 (簡體中文, 韓文, 英文, 繁體中文, 日文)</v>
      </c>
      <c r="C13" s="47" t="str">
        <v>PS4 / PS5</v>
      </c>
      <c r="D13" s="49" t="n">
        <v>468</v>
      </c>
      <c r="E13" s="49" t="n">
        <f>ROUND(D13*'可买清单'!$B$4,2)</f>
        <v>400.47</v>
      </c>
      <c r="F13" s="47" t="str">
        <v>二档游戏库收录（含本体权益）</v>
      </c>
      <c r="G13" s="68" t="str">
        <v>查看港服</v>
      </c>
    </row>
    <row r="14" ht="46" customHeight="1">
      <c r="A14" s="55" t="n">
        <v>7</v>
      </c>
      <c r="B14" s="28" t="str">
        <v>自殺突擊隊：戰勝正義聯盟 (簡體中文, 韓文, 英文, 繁體中文, 日文)</v>
      </c>
      <c r="C14" s="29" t="str">
        <v>PS5</v>
      </c>
      <c r="D14" s="31" t="n">
        <v>548</v>
      </c>
      <c r="E14" s="31" t="n">
        <f>ROUND(D14*'可买清单'!$B$4,2)</f>
        <v>468.92</v>
      </c>
      <c r="F14" s="29" t="str">
        <v>当前商品未显示有效限时折扣</v>
      </c>
      <c r="G14" s="67" t="str">
        <v>查看港服</v>
      </c>
    </row>
    <row r="15" ht="46" customHeight="1">
      <c r="A15" s="56" t="n">
        <v>8</v>
      </c>
      <c r="B15" s="46" t="str">
        <v>《喋血復仇：豪華版》PS4 &amp; PS5 (簡體中文, 韓文, 英文, 繁體中文, 日文)</v>
      </c>
      <c r="C15" s="47" t="str">
        <v>PS4 / PS5</v>
      </c>
      <c r="D15" s="49" t="n">
        <v>69</v>
      </c>
      <c r="E15" s="49" t="n">
        <f>ROUND(D15*'可买清单'!$B$4,2)</f>
        <v>59.04</v>
      </c>
      <c r="F15" s="47" t="str">
        <v>二档游戏库收录（含本体权益）</v>
      </c>
      <c r="G15" s="68" t="str">
        <v>查看港服</v>
      </c>
    </row>
    <row r="16" ht="46" customHeight="1">
      <c r="A16" s="55" t="n">
        <v>9</v>
      </c>
      <c r="B16" s="28" t="str">
        <v>INSIDE (中英韓文版)</v>
      </c>
      <c r="C16" s="29" t="str">
        <v>PS4</v>
      </c>
      <c r="D16" s="31" t="n">
        <v>148</v>
      </c>
      <c r="E16" s="31" t="n">
        <f>ROUND(D16*'可买清单'!$B$4,2)</f>
        <v>126.64</v>
      </c>
      <c r="F16" s="29" t="str">
        <v>当前商品未显示有效限时折扣</v>
      </c>
      <c r="G16" s="67" t="str">
        <v>查看港服</v>
      </c>
    </row>
    <row r="17" ht="46" customHeight="1">
      <c r="A17" s="56" t="n">
        <v>10</v>
      </c>
      <c r="B17" s="46" t="str">
        <v>The Evil Within 2 (中英韓文版)</v>
      </c>
      <c r="C17" s="47" t="str">
        <v>PS4</v>
      </c>
      <c r="D17" s="49" t="n">
        <v>310</v>
      </c>
      <c r="E17" s="49" t="n">
        <f>ROUND(D17*'可买清单'!$B$4,2)</f>
        <v>265.27</v>
      </c>
      <c r="F17" s="47" t="str">
        <v>二档游戏库收录（含本体权益）</v>
      </c>
      <c r="G17" s="68" t="str">
        <v>查看港服</v>
      </c>
    </row>
    <row r="18" ht="46" customHeight="1">
      <c r="A18" s="55" t="n">
        <v>11</v>
      </c>
      <c r="B18" s="28" t="str">
        <v>Sonic Mania (英文版)</v>
      </c>
      <c r="C18" s="29" t="str">
        <v>PS4</v>
      </c>
      <c r="D18" s="31" t="n">
        <v>148</v>
      </c>
      <c r="E18" s="31" t="n">
        <f>ROUND(D18*'可买清单'!$B$4,2)</f>
        <v>126.64</v>
      </c>
      <c r="F18" s="29" t="str">
        <v>当前商品未显示有效限时折扣</v>
      </c>
      <c r="G18" s="67" t="str">
        <v>查看港服</v>
      </c>
    </row>
    <row r="19" ht="46" customHeight="1">
      <c r="A19" s="56" t="n">
        <v>12</v>
      </c>
      <c r="B19" s="46" t="str">
        <v>Wolfenstein® II: The New Colossus™ (中英文版)</v>
      </c>
      <c r="C19" s="47" t="str">
        <v>PS4</v>
      </c>
      <c r="D19" s="49" t="n">
        <v>310</v>
      </c>
      <c r="E19" s="49" t="n">
        <f>ROUND(D19*'可买清单'!$B$4,2)</f>
        <v>265.27</v>
      </c>
      <c r="F19" s="47" t="str">
        <v>二档游戏库收录（含本体权益）</v>
      </c>
      <c r="G19" s="68" t="str">
        <v>查看港服</v>
      </c>
    </row>
    <row r="20" ht="46" customHeight="1">
      <c r="A20" s="55" t="n">
        <v>13</v>
      </c>
      <c r="B20" s="28" t="str">
        <v>Injustice™ 2 - PlayStation®Hits (英文版)</v>
      </c>
      <c r="C20" s="29" t="str">
        <v>PS4</v>
      </c>
      <c r="D20" s="31" t="n">
        <v>148</v>
      </c>
      <c r="E20" s="31" t="n">
        <f>ROUND(D20*'可买清单'!$B$4,2)</f>
        <v>126.64</v>
      </c>
      <c r="F20" s="29" t="str">
        <v>当前商品未显示有效限时折扣</v>
      </c>
      <c r="G20" s="67" t="str">
        <v>查看港服</v>
      </c>
    </row>
    <row r="21" ht="46" customHeight="1">
      <c r="A21" s="56" t="n">
        <v>14</v>
      </c>
      <c r="B21" s="46" t="str">
        <v>真人快打11 (簡體中文, 英文)</v>
      </c>
      <c r="C21" s="47" t="str">
        <v>PS4 / PS5</v>
      </c>
      <c r="D21" s="49" t="n">
        <v>388</v>
      </c>
      <c r="E21" s="49" t="n">
        <f>ROUND(D21*'可买清单'!$B$4,2)</f>
        <v>332.01</v>
      </c>
      <c r="F21" s="47" t="str">
        <v>当前商品未显示有效限时折扣</v>
      </c>
      <c r="G21" s="68" t="str">
        <v>查看港服</v>
      </c>
    </row>
    <row r="22" ht="46" customHeight="1">
      <c r="A22" s="55" t="n">
        <v>15</v>
      </c>
      <c r="B22" s="28" t="str">
        <v>The Sinking City (簡體中文, 韓文, 英文, 繁體中文)</v>
      </c>
      <c r="C22" s="29" t="str">
        <v>PS4</v>
      </c>
      <c r="D22" s="31" t="n">
        <v>398</v>
      </c>
      <c r="E22" s="31" t="n">
        <f>ROUND(D22*'可买清单'!$B$4,2)</f>
        <v>340.57</v>
      </c>
      <c r="F22" s="29" t="str">
        <v>当前商品未显示有效限时折扣</v>
      </c>
      <c r="G22" s="67" t="str">
        <v>查看港服</v>
      </c>
    </row>
    <row r="23" ht="46" customHeight="1">
      <c r="A23" s="56" t="n">
        <v>16</v>
      </c>
      <c r="B23" s="46" t="str">
        <v>SONIC FORCES (中日英韓文版)</v>
      </c>
      <c r="C23" s="47" t="str">
        <v>PS4</v>
      </c>
      <c r="D23" s="49" t="n">
        <v>338</v>
      </c>
      <c r="E23" s="49" t="n">
        <f>ROUND(D23*'可买清单'!$B$4,2)</f>
        <v>289.23</v>
      </c>
      <c r="F23" s="47" t="str">
        <v>当前商品未显示有效限时折扣</v>
      </c>
      <c r="G23" s="68" t="str">
        <v>查看港服</v>
      </c>
    </row>
    <row r="24" ht="46" customHeight="1">
      <c r="A24" s="55" t="n">
        <v>17</v>
      </c>
      <c r="B24" s="28" t="str">
        <v>Return to Monkey Island (簡體中文, 韓文, 英文, 日文)</v>
      </c>
      <c r="C24" s="29" t="str">
        <v>PS5</v>
      </c>
      <c r="D24" s="31" t="n">
        <v>59.4</v>
      </c>
      <c r="E24" s="31" t="n">
        <f>ROUND(D24*'可买清单'!$B$4,2)</f>
        <v>50.83</v>
      </c>
      <c r="F24" s="29" t="str">
        <v>二档游戏库收录（含本体权益）</v>
      </c>
      <c r="G24" s="67" t="str">
        <v>查看港服</v>
      </c>
    </row>
    <row r="25" ht="46" customHeight="1">
      <c r="A25" s="56" t="n">
        <v>18</v>
      </c>
      <c r="B25" s="46" t="str">
        <v>鬼武者（Onimusha: Warlords） (簡體中文, 韓文, 英文, 繁體中文, 日文)</v>
      </c>
      <c r="C25" s="47" t="str">
        <v>PS4</v>
      </c>
      <c r="D25" s="49" t="n">
        <v>138</v>
      </c>
      <c r="E25" s="49" t="n">
        <f>ROUND(D25*'可买清单'!$B$4,2)</f>
        <v>118.09</v>
      </c>
      <c r="F25" s="47" t="str">
        <v>当前商品未显示有效限时折扣</v>
      </c>
      <c r="G25" s="68" t="str">
        <v>查看港服</v>
      </c>
    </row>
    <row r="26" ht="46" customHeight="1">
      <c r="A26" s="55" t="n">
        <v>19</v>
      </c>
      <c r="B26" s="28" t="str">
        <v>Dodgeball Academia (簡體中文, 英文, 日文)</v>
      </c>
      <c r="C26" s="29" t="str">
        <v>PS4</v>
      </c>
      <c r="D26" s="31" t="n">
        <v>198</v>
      </c>
      <c r="E26" s="31" t="n">
        <f>ROUND(D26*'可买清单'!$B$4,2)</f>
        <v>169.43</v>
      </c>
      <c r="F26" s="29" t="str">
        <v>当前商品未显示有效限时折扣</v>
      </c>
      <c r="G26" s="67" t="str">
        <v>查看港服</v>
      </c>
    </row>
    <row r="27" ht="46" customHeight="1">
      <c r="A27" s="56" t="n">
        <v>20</v>
      </c>
      <c r="B27" s="46" t="str">
        <v>DRAGON BALL FighterZ PS4™&amp;PS5® (簡體中文, 韓文, 繁體中文, 日文)</v>
      </c>
      <c r="C27" s="47" t="str">
        <v>PS4 / PS5</v>
      </c>
      <c r="D27" s="49" t="n">
        <v>199</v>
      </c>
      <c r="E27" s="49" t="n">
        <f>ROUND(D27*'可买清单'!$B$4,2)</f>
        <v>170.28</v>
      </c>
      <c r="F27" s="47" t="str">
        <v>当前商品未显示有效限时折扣</v>
      </c>
      <c r="G27" s="68" t="str">
        <v>查看港服</v>
      </c>
    </row>
    <row r="28" ht="46" customHeight="1">
      <c r="A28" s="55" t="n">
        <v>21</v>
      </c>
      <c r="B28" s="28" t="str">
        <v>Ni no Kuni: Wrath of the White Witch Remastered (英文)</v>
      </c>
      <c r="C28" s="29" t="str">
        <v>PS4</v>
      </c>
      <c r="D28" s="31" t="n">
        <v>419</v>
      </c>
      <c r="E28" s="31" t="n">
        <f>ROUND(D28*'可买清单'!$B$4,2)</f>
        <v>358.54</v>
      </c>
      <c r="F28" s="29" t="str">
        <v>当前商品未显示有效限时折扣</v>
      </c>
      <c r="G28" s="67" t="str">
        <v>查看港服</v>
      </c>
    </row>
    <row r="29" ht="46" customHeight="1">
      <c r="A29" s="56" t="n">
        <v>22</v>
      </c>
      <c r="B29" s="46" t="str">
        <v>小小夢魘2 PS4 &amp; PS5 (簡體中文, 韓文, 繁體中文)</v>
      </c>
      <c r="C29" s="47" t="str">
        <v>PS4 / PS5</v>
      </c>
      <c r="D29" s="49" t="n">
        <v>149</v>
      </c>
      <c r="E29" s="49" t="n">
        <f>ROUND(D29*'可买清单'!$B$4,2)</f>
        <v>127.5</v>
      </c>
      <c r="F29" s="47" t="str">
        <v>当前商品未显示有效限时折扣</v>
      </c>
      <c r="G29" s="68" t="str">
        <v>查看港服</v>
      </c>
    </row>
    <row r="30" ht="46" customHeight="1">
      <c r="A30" s="55" t="n">
        <v>23</v>
      </c>
      <c r="B30" s="28" t="str">
        <v>BALL x PIT (簡體中文, 韓文, 英文, 泰文, 繁體中文, 日文)</v>
      </c>
      <c r="C30" s="29" t="str">
        <v>PS5</v>
      </c>
      <c r="D30" s="31" t="n">
        <v>71.28</v>
      </c>
      <c r="E30" s="31" t="n">
        <f>ROUND(D30*'可买清单'!$B$4,2)</f>
        <v>60.99</v>
      </c>
      <c r="F30" s="29" t="str">
        <v>二档游戏库收录（含本体权益）</v>
      </c>
      <c r="G30" s="67" t="str">
        <v>查看港服</v>
      </c>
    </row>
    <row r="31" ht="46" customHeight="1">
      <c r="A31" s="56" t="n">
        <v>24</v>
      </c>
      <c r="B31" s="46" t="str">
        <v>蝙蝠俠：重返阿卡漢 (英文版)</v>
      </c>
      <c r="C31" s="47" t="str">
        <v>PS4</v>
      </c>
      <c r="D31" s="49" t="n">
        <v>148</v>
      </c>
      <c r="E31" s="49" t="n">
        <f>ROUND(D31*'可买清单'!$B$4,2)</f>
        <v>126.64</v>
      </c>
      <c r="F31" s="47" t="str">
        <v>当前商品未显示有效限时折扣</v>
      </c>
      <c r="G31" s="68" t="str">
        <v>查看港服</v>
      </c>
    </row>
    <row r="32" ht="46" customHeight="1">
      <c r="A32" s="55" t="n">
        <v>25</v>
      </c>
      <c r="B32" s="28" t="str">
        <v>LEGO® 旋風忍者®大電影遊戲 (中英韓文版)</v>
      </c>
      <c r="C32" s="29" t="str">
        <v>PS4</v>
      </c>
      <c r="D32" s="31" t="n">
        <v>38.61</v>
      </c>
      <c r="E32" s="31" t="n">
        <f>ROUND(D32*'可买清单'!$B$4,2)</f>
        <v>33.04</v>
      </c>
      <c r="F32" s="29" t="str">
        <v>二档游戏库收录</v>
      </c>
      <c r="G32" s="67" t="str">
        <v>查看港服</v>
      </c>
    </row>
    <row r="33" ht="46" customHeight="1">
      <c r="A33" s="56" t="n">
        <v>26</v>
      </c>
      <c r="B33" s="46" t="str">
        <v>LEGO® DC 超級反派 (中英韓文版)</v>
      </c>
      <c r="C33" s="47" t="str">
        <v>PS4</v>
      </c>
      <c r="D33" s="49" t="n">
        <v>38.61</v>
      </c>
      <c r="E33" s="49" t="n">
        <f>ROUND(D33*'可买清单'!$B$4,2)</f>
        <v>33.04</v>
      </c>
      <c r="F33" s="47" t="str">
        <v>二档游戏库收录</v>
      </c>
      <c r="G33" s="68" t="str">
        <v>查看港服</v>
      </c>
    </row>
    <row r="34" ht="46" customHeight="1">
      <c r="A34" s="55" t="n">
        <v>27</v>
      </c>
      <c r="B34" s="28" t="str">
        <v>A Plague Tale: Innocence</v>
      </c>
      <c r="C34" s="29" t="str">
        <v>PS4 / PS5</v>
      </c>
      <c r="D34" s="31" t="n">
        <v>61.6</v>
      </c>
      <c r="E34" s="31" t="n">
        <f>ROUND(D34*'可买清单'!$B$4,2)</f>
        <v>52.71</v>
      </c>
      <c r="F34" s="29" t="str">
        <v>已玩：A Plague Tale: Innocence</v>
      </c>
      <c r="G34" s="67" t="str">
        <v>查看港服</v>
      </c>
    </row>
    <row r="35" ht="46" customHeight="1">
      <c r="A35" s="56" t="n">
        <v>28</v>
      </c>
      <c r="B35" s="46" t="str">
        <v>Cat Quest: The Fur-tastic Trilogy</v>
      </c>
      <c r="C35" s="47" t="str">
        <v>PS4 / PS5</v>
      </c>
      <c r="D35" s="49" t="n">
        <v>107.8</v>
      </c>
      <c r="E35" s="49" t="n">
        <f>ROUND(D35*'可买清单'!$B$4,2)</f>
        <v>92.24</v>
      </c>
      <c r="F35" s="47" t="str">
        <v>商品页显示二档本体权益</v>
      </c>
      <c r="G35" s="68" t="str">
        <v>查看港服</v>
      </c>
    </row>
    <row r="36" ht="46" customHeight="1">
      <c r="A36" s="55" t="n">
        <v>29</v>
      </c>
      <c r="B36" s="28" t="str">
        <v>Dead Island 2</v>
      </c>
      <c r="C36" s="29" t="str">
        <v>PS4 / PS5</v>
      </c>
      <c r="D36" s="31" t="n">
        <v>79.6</v>
      </c>
      <c r="E36" s="31" t="n">
        <f>ROUND(D36*'可买清单'!$B$4,2)</f>
        <v>68.11</v>
      </c>
      <c r="F36" s="29" t="str">
        <v>已玩：Dead Island 2</v>
      </c>
      <c r="G36" s="67" t="str">
        <v>查看港服</v>
      </c>
    </row>
    <row r="37" ht="46" customHeight="1">
      <c r="A37" s="56" t="n">
        <v>30</v>
      </c>
      <c r="B37" s="46" t="str">
        <v>Date Everything! - Lavish Edition</v>
      </c>
      <c r="C37" s="47" t="str">
        <v>PS5</v>
      </c>
      <c r="D37" s="49" t="n">
        <v>91.12</v>
      </c>
      <c r="E37" s="49" t="n">
        <f>ROUND(D37*'可买清单'!$B$4,2)</f>
        <v>77.97</v>
      </c>
      <c r="F37" s="47" t="str">
        <v>商品页显示二档本体权益</v>
      </c>
      <c r="G37" s="68" t="str">
        <v>查看港服</v>
      </c>
    </row>
    <row r="38" ht="46" customHeight="1">
      <c r="A38" s="55" t="n">
        <v>31</v>
      </c>
      <c r="B38" s="28" t="str">
        <v>Eldest Souls</v>
      </c>
      <c r="C38" s="29" t="str">
        <v>PS4 / PS5</v>
      </c>
      <c r="D38" s="31" t="n">
        <v>22.2</v>
      </c>
      <c r="E38" s="31" t="n">
        <f>ROUND(D38*'可买清单'!$B$4,2)</f>
        <v>19</v>
      </c>
      <c r="F38" s="29" t="str">
        <v>商品页显示二档本体权益</v>
      </c>
      <c r="G38" s="67" t="str">
        <v>查看港服</v>
      </c>
    </row>
    <row r="39" ht="46" customHeight="1">
      <c r="A39" s="56" t="n">
        <v>32</v>
      </c>
      <c r="B39" s="46" t="str">
        <v>DREDGE - Digital Deluxe Edition</v>
      </c>
      <c r="C39" s="47" t="str">
        <v>PS4 / PS5</v>
      </c>
      <c r="D39" s="49" t="n">
        <v>84.8</v>
      </c>
      <c r="E39" s="49" t="n">
        <f>ROUND(D39*'可买清单'!$B$4,2)</f>
        <v>72.56</v>
      </c>
      <c r="F39" s="47" t="str">
        <v>商品页显示二档本体权益</v>
      </c>
      <c r="G39" s="68" t="str">
        <v>查看港服</v>
      </c>
    </row>
    <row r="40" ht="46" customHeight="1">
      <c r="A40" s="55" t="n">
        <v>33</v>
      </c>
      <c r="B40" s="28" t="str">
        <v>Flintlock – Deluxe Edition</v>
      </c>
      <c r="C40" s="29" t="str">
        <v>PS5</v>
      </c>
      <c r="D40" s="31" t="n">
        <v>87</v>
      </c>
      <c r="E40" s="31" t="n">
        <f>ROUND(D40*'可买清单'!$B$4,2)</f>
        <v>74.45</v>
      </c>
      <c r="F40" s="29" t="str">
        <v>商品页显示二档本体权益</v>
      </c>
      <c r="G40" s="67" t="str">
        <v>查看港服</v>
      </c>
    </row>
    <row r="41" ht="46" customHeight="1">
      <c r="A41" s="56" t="n">
        <v>34</v>
      </c>
      <c r="B41" s="46" t="str">
        <v>《荣耀战魂》黄金版</v>
      </c>
      <c r="C41" s="47" t="str">
        <v>PS4</v>
      </c>
      <c r="D41" s="49" t="n">
        <v>70.2</v>
      </c>
      <c r="E41" s="49" t="n">
        <f>ROUND(D41*'可买清单'!$B$4,2)</f>
        <v>60.07</v>
      </c>
      <c r="F41" s="47" t="str">
        <v>商品页显示二档本体权益</v>
      </c>
      <c r="G41" s="68" t="str">
        <v>查看港服</v>
      </c>
    </row>
    <row r="42" ht="46" customHeight="1">
      <c r="A42" s="55" t="n">
        <v>35</v>
      </c>
      <c r="B42" s="28" t="str">
        <v>Green Hell</v>
      </c>
      <c r="C42" s="29" t="str">
        <v>PS4 / PS5</v>
      </c>
      <c r="D42" s="31" t="n">
        <v>27</v>
      </c>
      <c r="E42" s="31" t="n">
        <f>ROUND(D42*'可买清单'!$B$4,2)</f>
        <v>23.1</v>
      </c>
      <c r="F42" s="29" t="str">
        <v>商品页显示二档本体权益</v>
      </c>
      <c r="G42" s="67" t="str">
        <v>查看港服</v>
      </c>
    </row>
    <row r="43" ht="46" customHeight="1">
      <c r="A43" s="56" t="n">
        <v>36</v>
      </c>
      <c r="B43" s="46" t="str">
        <v>Hello Neighbor</v>
      </c>
      <c r="C43" s="47" t="str">
        <v>PS4 / PS5</v>
      </c>
      <c r="D43" s="49" t="n">
        <v>59.5</v>
      </c>
      <c r="E43" s="49" t="n">
        <f>ROUND(D43*'可买清单'!$B$4,2)</f>
        <v>50.91</v>
      </c>
      <c r="F43" s="47" t="str">
        <v>商品页显示二档本体权益</v>
      </c>
      <c r="G43" s="68" t="str">
        <v>查看港服</v>
      </c>
    </row>
    <row r="44" ht="46" customHeight="1">
      <c r="A44" s="55" t="n">
        <v>37</v>
      </c>
      <c r="B44" s="28" t="str">
        <v>Maneater PS4 &amp; PS5</v>
      </c>
      <c r="C44" s="29" t="str">
        <v>PS4 / PS5</v>
      </c>
      <c r="D44" s="31" t="n">
        <v>30.8</v>
      </c>
      <c r="E44" s="31" t="n">
        <f>ROUND(D44*'可买清单'!$B$4,2)</f>
        <v>26.36</v>
      </c>
      <c r="F44" s="29" t="str">
        <v>已玩：Maneater</v>
      </c>
      <c r="G44" s="67" t="str">
        <v>查看港服</v>
      </c>
    </row>
    <row r="45" ht="46" customHeight="1">
      <c r="A45" s="56" t="n">
        <v>38</v>
      </c>
      <c r="B45" s="46" t="str">
        <v>Metal Eden</v>
      </c>
      <c r="C45" s="47" t="str">
        <v>PS5</v>
      </c>
      <c r="D45" s="49" t="n">
        <v>37</v>
      </c>
      <c r="E45" s="49" t="n">
        <f>ROUND(D45*'可买清单'!$B$4,2)</f>
        <v>31.66</v>
      </c>
      <c r="F45" s="47" t="str">
        <v>商品页显示二档本体权益</v>
      </c>
      <c r="G45" s="68" t="str">
        <v>查看港服</v>
      </c>
    </row>
    <row r="46" ht="46" customHeight="1">
      <c r="A46" s="55" t="n">
        <v>39</v>
      </c>
      <c r="B46" s="28" t="str">
        <v>NEW MONOPOLY®</v>
      </c>
      <c r="C46" s="29" t="str">
        <v>PS4 / PS5</v>
      </c>
      <c r="D46" s="31" t="n">
        <v>91.2</v>
      </c>
      <c r="E46" s="31" t="n">
        <f>ROUND(D46*'可买清单'!$B$4,2)</f>
        <v>78.04</v>
      </c>
      <c r="F46" s="29" t="str">
        <v>已玩：MONOPOLY®</v>
      </c>
      <c r="G46" s="67" t="str">
        <v>查看港服</v>
      </c>
    </row>
    <row r="47" ht="46" customHeight="1">
      <c r="A47" s="56" t="n">
        <v>40</v>
      </c>
      <c r="B47" s="46" t="str">
        <v>拼圖巡遊: 月包 #26</v>
      </c>
      <c r="C47" s="47" t="str">
        <v>PS5</v>
      </c>
      <c r="D47" s="49" t="n">
        <v>26.6</v>
      </c>
      <c r="E47" s="49" t="n">
        <f>ROUND(D47*'可买清单'!$B$4,2)</f>
        <v>22.76</v>
      </c>
      <c r="F47" s="47" t="str">
        <v>非完整游戏／合集：LEVEL</v>
      </c>
      <c r="G47" s="68" t="str">
        <v>查看港服</v>
      </c>
    </row>
    <row r="48" ht="46" customHeight="1">
      <c r="A48" s="55" t="n">
        <v>41</v>
      </c>
      <c r="B48" s="28" t="str">
        <v>拼圖巡遊: 月包 #30</v>
      </c>
      <c r="C48" s="29" t="str">
        <v>PS5</v>
      </c>
      <c r="D48" s="31" t="n">
        <v>26.6</v>
      </c>
      <c r="E48" s="31" t="n">
        <f>ROUND(D48*'可买清单'!$B$4,2)</f>
        <v>22.76</v>
      </c>
      <c r="F48" s="29" t="str">
        <v>非完整游戏／合集：LEVEL</v>
      </c>
      <c r="G48" s="67" t="str">
        <v>查看港服</v>
      </c>
    </row>
    <row r="49" ht="46" customHeight="1">
      <c r="A49" s="56" t="n">
        <v>42</v>
      </c>
      <c r="B49" s="46" t="str">
        <v>Saints Row Gold Edition</v>
      </c>
      <c r="C49" s="47" t="str">
        <v>PS4 / PS5</v>
      </c>
      <c r="D49" s="49" t="n">
        <v>77</v>
      </c>
      <c r="E49" s="49" t="n">
        <f>ROUND(D49*'可买清单'!$B$4,2)</f>
        <v>65.89</v>
      </c>
      <c r="F49" s="47" t="str">
        <v>已玩：Saints Row</v>
      </c>
      <c r="G49" s="68" t="str">
        <v>查看港服</v>
      </c>
    </row>
    <row r="50" ht="46" customHeight="1">
      <c r="A50" s="55" t="n">
        <v>43</v>
      </c>
      <c r="B50" s="28" t="str">
        <v>Secret Neighbor</v>
      </c>
      <c r="C50" s="29" t="str">
        <v>PS4</v>
      </c>
      <c r="D50" s="31" t="n">
        <v>37</v>
      </c>
      <c r="E50" s="31" t="n">
        <f>ROUND(D50*'可买清单'!$B$4,2)</f>
        <v>31.66</v>
      </c>
      <c r="F50" s="29" t="str">
        <v>商品页显示二档本体权益</v>
      </c>
      <c r="G50" s="67" t="str">
        <v>查看港服</v>
      </c>
    </row>
    <row r="51" ht="46" customHeight="1">
      <c r="A51" s="56" t="n">
        <v>44</v>
      </c>
      <c r="B51" s="46" t="str">
        <v>Sherlock Holmes Chapter One豪華版</v>
      </c>
      <c r="C51" s="47" t="str">
        <v>PS4 / PS5</v>
      </c>
      <c r="D51" s="49" t="n">
        <v>46.8</v>
      </c>
      <c r="E51" s="49" t="n">
        <f>ROUND(D51*'可买清单'!$B$4,2)</f>
        <v>40.05</v>
      </c>
      <c r="F51" s="47" t="str">
        <v>已玩：Sherlock Holmes Chapter One</v>
      </c>
      <c r="G51" s="68" t="str">
        <v>查看港服</v>
      </c>
    </row>
    <row r="52" ht="46" customHeight="1">
      <c r="A52" s="55" t="n">
        <v>45</v>
      </c>
      <c r="B52" s="28" t="str">
        <v>DO NOT USE / NOT RELEASING IN THIS LANGUAGE</v>
      </c>
      <c r="C52" s="29" t="str">
        <v>PS5</v>
      </c>
      <c r="D52" s="31" t="n">
        <v>15.2</v>
      </c>
      <c r="E52" s="31" t="n">
        <f>ROUND(D52*'可买清单'!$B$4,2)</f>
        <v>13.01</v>
      </c>
      <c r="F52" s="29" t="str">
        <v>官方商品名称异常，版本待确认，暂不推荐购买</v>
      </c>
      <c r="G52" s="67" t="str">
        <v>查看港服</v>
      </c>
    </row>
    <row r="53" ht="46" customHeight="1">
      <c r="A53" s="56" t="n">
        <v>46</v>
      </c>
      <c r="B53" s="46" t="str">
        <v>《飆酷車神 2》 - 黃金版</v>
      </c>
      <c r="C53" s="47" t="str">
        <v>PS4</v>
      </c>
      <c r="D53" s="49" t="n">
        <v>116.4</v>
      </c>
      <c r="E53" s="49" t="n">
        <f>ROUND(D53*'可买清单'!$B$4,2)</f>
        <v>99.6</v>
      </c>
      <c r="F53" s="47" t="str">
        <v>已玩：The Crew® 2</v>
      </c>
      <c r="G53" s="68" t="str">
        <v>查看港服</v>
      </c>
    </row>
    <row r="54" ht="46" customHeight="1">
      <c r="A54" s="55" t="n">
        <v>47</v>
      </c>
      <c r="B54" s="28" t="str">
        <v>《飆酷車神 2》 - 特別版</v>
      </c>
      <c r="C54" s="29" t="str">
        <v>PS4</v>
      </c>
      <c r="D54" s="31" t="n">
        <v>92.4</v>
      </c>
      <c r="E54" s="31" t="n">
        <f>ROUND(D54*'可买清单'!$B$4,2)</f>
        <v>79.07</v>
      </c>
      <c r="F54" s="29" t="str">
        <v>已玩：The Crew® 2</v>
      </c>
      <c r="G54" s="67" t="str">
        <v>查看港服</v>
      </c>
    </row>
    <row r="55" ht="46" customHeight="1">
      <c r="A55" s="56" t="n">
        <v>48</v>
      </c>
      <c r="B55" s="46" t="str">
        <v>The Thaumaturge</v>
      </c>
      <c r="C55" s="47" t="str">
        <v>PS5</v>
      </c>
      <c r="D55" s="49" t="n">
        <v>93.8</v>
      </c>
      <c r="E55" s="49" t="n">
        <f>ROUND(D55*'可买清单'!$B$4,2)</f>
        <v>80.26</v>
      </c>
      <c r="F55" s="47" t="str">
        <v>已玩：The Thaumaturge</v>
      </c>
      <c r="G55" s="68" t="str">
        <v>查看港服</v>
      </c>
    </row>
    <row r="56" ht="46" customHeight="1">
      <c r="A56" s="55" t="n">
        <v>49</v>
      </c>
      <c r="B56" s="28" t="str">
        <v>Vampire Survivors</v>
      </c>
      <c r="C56" s="29" t="str">
        <v>PS4 / PS5</v>
      </c>
      <c r="D56" s="31" t="n">
        <v>30.4</v>
      </c>
      <c r="E56" s="31" t="n">
        <f>ROUND(D56*'可买清单'!$B$4,2)</f>
        <v>26.01</v>
      </c>
      <c r="F56" s="29" t="str">
        <v>已玩：Vampire Survivors</v>
      </c>
      <c r="G56" s="67" t="str">
        <v>查看港服</v>
      </c>
    </row>
    <row r="57" ht="46" customHeight="1">
      <c r="A57" s="56" t="n">
        <v>50</v>
      </c>
      <c r="B57" s="46" t="str">
        <v>Warhammer 40,000: Rogue Trader - Void Shadows</v>
      </c>
      <c r="C57" s="47" t="str">
        <v>PS5</v>
      </c>
      <c r="D57" s="49" t="n">
        <v>59.4</v>
      </c>
      <c r="E57" s="49" t="n">
        <f>ROUND(D57*'可买清单'!$B$4,2)</f>
        <v>50.83</v>
      </c>
      <c r="F57" s="47" t="str">
        <v>非完整游戏／合集：EPISODE</v>
      </c>
      <c r="G57" s="68" t="str">
        <v>查看港服</v>
      </c>
    </row>
    <row r="58" ht="46" customHeight="1">
      <c r="A58" s="55" t="n">
        <v>51</v>
      </c>
      <c r="B58" s="28" t="str">
        <v>無雙深淵</v>
      </c>
      <c r="C58" s="29" t="str">
        <v>PS4 / PS5</v>
      </c>
      <c r="D58" s="31" t="n">
        <v>79.2</v>
      </c>
      <c r="E58" s="31" t="n">
        <f>ROUND(D58*'可买清单'!$B$4,2)</f>
        <v>67.77</v>
      </c>
      <c r="F58" s="29" t="str">
        <v>商品页显示二档本体权益</v>
      </c>
      <c r="G58" s="67" t="str">
        <v>查看港服</v>
      </c>
    </row>
    <row r="59" ht="46" customHeight="1">
      <c r="A59" s="56" t="n">
        <v>52</v>
      </c>
      <c r="B59" s="46" t="str">
        <v>Hunt: Showdown 1896 - Cry of the Caged Bird</v>
      </c>
      <c r="C59" s="47" t="str">
        <v>PS5</v>
      </c>
      <c r="D59" s="49" t="n">
        <v>58.5</v>
      </c>
      <c r="E59" s="49" t="n">
        <f>ROUND(D59*'可买清单'!$B$4,2)</f>
        <v>50.06</v>
      </c>
      <c r="F59" s="47" t="str">
        <v>非完整游戏／合集：COSTUME</v>
      </c>
      <c r="G59" s="68" t="str">
        <v>查看港服</v>
      </c>
    </row>
    <row r="60" ht="46" customHeight="1">
      <c r="A60" s="55" t="n">
        <v>53</v>
      </c>
      <c r="B60" s="28" t="str">
        <v>Hunt: Showdown 1896 - 蒙特雷索的瘋狂</v>
      </c>
      <c r="C60" s="29" t="str">
        <v>PS5</v>
      </c>
      <c r="D60" s="31" t="n">
        <v>62.4</v>
      </c>
      <c r="E60" s="31" t="n">
        <f>ROUND(D60*'可买清单'!$B$4,2)</f>
        <v>53.4</v>
      </c>
      <c r="F60" s="29" t="str">
        <v>非完整游戏／合集：COSTUME</v>
      </c>
      <c r="G60" s="67" t="str">
        <v>查看港服</v>
      </c>
    </row>
    <row r="61" ht="46" customHeight="1">
      <c r="A61" s="56" t="n">
        <v>54</v>
      </c>
      <c r="B61" s="46" t="str">
        <v>Insurgency: Sandstorm - 1-Year Anniversary Edition [PS4 &amp; PS5]</v>
      </c>
      <c r="C61" s="47" t="str">
        <v>PS4 / PS5</v>
      </c>
      <c r="D61" s="49" t="n">
        <v>99.5</v>
      </c>
      <c r="E61" s="49" t="n">
        <f>ROUND(D61*'可买清单'!$B$4,2)</f>
        <v>85.14</v>
      </c>
      <c r="F61" s="47" t="str">
        <v>商品页显示二档本体权益</v>
      </c>
      <c r="G61" s="68" t="str">
        <v>查看港服</v>
      </c>
    </row>
    <row r="62" ht="46" customHeight="1">
      <c r="A62" s="55" t="n">
        <v>55</v>
      </c>
      <c r="B62" s="28" t="str">
        <v>《侏羅紀世界：進化 2》</v>
      </c>
      <c r="C62" s="29" t="str">
        <v>PS4 / PS5</v>
      </c>
      <c r="D62" s="31" t="n">
        <v>93.6</v>
      </c>
      <c r="E62" s="31" t="n">
        <f>ROUND(D62*'可买清单'!$B$4,2)</f>
        <v>80.09</v>
      </c>
      <c r="F62" s="29" t="str">
        <v>商品页显示二档本体权益</v>
      </c>
      <c r="G62" s="67" t="str">
        <v>查看港服</v>
      </c>
    </row>
    <row r="63" ht="46" customHeight="1">
      <c r="A63" s="56" t="n">
        <v>56</v>
      </c>
      <c r="B63" s="46" t="str">
        <v>Killing Floor 2</v>
      </c>
      <c r="C63" s="47" t="str">
        <v>PS4</v>
      </c>
      <c r="D63" s="49" t="n">
        <v>23.8</v>
      </c>
      <c r="E63" s="49" t="n">
        <f>ROUND(D63*'可买清单'!$B$4,2)</f>
        <v>20.37</v>
      </c>
      <c r="F63" s="47" t="str">
        <v>商品页显示二档本体权益</v>
      </c>
      <c r="G63" s="68" t="str">
        <v>查看港服</v>
      </c>
    </row>
    <row r="64" ht="46" customHeight="1">
      <c r="A64" s="55" t="n">
        <v>57</v>
      </c>
      <c r="B64" s="28" t="str">
        <v>Sniper Ghost Warrior Contracts 1 &amp; 2 Double Pack</v>
      </c>
      <c r="C64" s="29" t="str">
        <v>PS4</v>
      </c>
      <c r="D64" s="31" t="n">
        <v>46.8</v>
      </c>
      <c r="E64" s="31" t="n">
        <f>ROUND(D64*'可买清单'!$B$4,2)</f>
        <v>40.05</v>
      </c>
      <c r="F64" s="29" t="str">
        <v>同作同价的重复平台商品；已合并到主表</v>
      </c>
      <c r="G64" s="67" t="str">
        <v>查看港服</v>
      </c>
    </row>
    <row r="65" ht="46" customHeight="1">
      <c r="A65" s="56" t="n">
        <v>58</v>
      </c>
      <c r="B65" s="46" t="str">
        <v>Sniper Ghost Warrior Contracts 2</v>
      </c>
      <c r="C65" s="47" t="str">
        <v>PS4</v>
      </c>
      <c r="D65" s="49" t="n">
        <v>30.8</v>
      </c>
      <c r="E65" s="49" t="n">
        <f>ROUND(D65*'可买清单'!$B$4,2)</f>
        <v>26.36</v>
      </c>
      <c r="F65" s="47" t="str">
        <v>同作同价的重复平台商品；已合并到主表</v>
      </c>
      <c r="G65" s="68" t="str">
        <v>查看港服</v>
      </c>
    </row>
  </sheetData>
  <hyperlinks>
    <hyperlink ref="G8" r:id="rIdWeb1"/>
    <hyperlink ref="G9" r:id="rIdWeb2"/>
    <hyperlink ref="G10" r:id="rIdWeb3"/>
    <hyperlink ref="G11" r:id="rIdWeb4"/>
    <hyperlink ref="G12" r:id="rIdWeb5"/>
    <hyperlink ref="G13" r:id="rIdWeb6"/>
    <hyperlink ref="G14" r:id="rIdWeb7"/>
    <hyperlink ref="G15" r:id="rIdWeb8"/>
    <hyperlink ref="G16" r:id="rIdWeb9"/>
    <hyperlink ref="G17" r:id="rIdWeb10"/>
    <hyperlink ref="G18" r:id="rIdWeb11"/>
    <hyperlink ref="G19" r:id="rIdWeb12"/>
    <hyperlink ref="G20" r:id="rIdWeb13"/>
    <hyperlink ref="G21" r:id="rIdWeb14"/>
    <hyperlink ref="G22" r:id="rIdWeb15"/>
    <hyperlink ref="G23" r:id="rIdWeb16"/>
    <hyperlink ref="G24" r:id="rIdWeb17"/>
    <hyperlink ref="G25" r:id="rIdWeb18"/>
    <hyperlink ref="G26" r:id="rIdWeb19"/>
    <hyperlink ref="G27" r:id="rIdWeb20"/>
    <hyperlink ref="G28" r:id="rIdWeb21"/>
    <hyperlink ref="G29" r:id="rIdWeb22"/>
    <hyperlink ref="G30" r:id="rIdWeb23"/>
    <hyperlink ref="G31" r:id="rIdWeb24"/>
    <hyperlink ref="G32" r:id="rIdWeb25"/>
    <hyperlink ref="G33" r:id="rIdWeb26"/>
    <hyperlink ref="G34" r:id="rIdWeb27"/>
    <hyperlink ref="G35" r:id="rIdWeb28"/>
    <hyperlink ref="G36" r:id="rIdWeb29"/>
    <hyperlink ref="G37" r:id="rIdWeb30"/>
    <hyperlink ref="G38" r:id="rIdWeb31"/>
    <hyperlink ref="G39" r:id="rIdWeb32"/>
    <hyperlink ref="G40" r:id="rIdWeb33"/>
    <hyperlink ref="G41" r:id="rIdWeb34"/>
    <hyperlink ref="G42" r:id="rIdWeb35"/>
    <hyperlink ref="G43" r:id="rIdWeb36"/>
    <hyperlink ref="G44" r:id="rIdWeb37"/>
    <hyperlink ref="G45" r:id="rIdWeb38"/>
    <hyperlink ref="G46" r:id="rIdWeb39"/>
    <hyperlink ref="G47" r:id="rIdWeb40"/>
    <hyperlink ref="G48" r:id="rIdWeb41"/>
    <hyperlink ref="G49" r:id="rIdWeb42"/>
    <hyperlink ref="G50" r:id="rIdWeb43"/>
    <hyperlink ref="G51" r:id="rIdWeb44"/>
    <hyperlink ref="G52" r:id="rIdWeb45"/>
    <hyperlink ref="G53" r:id="rIdWeb46"/>
    <hyperlink ref="G54" r:id="rIdWeb47"/>
    <hyperlink ref="G55" r:id="rIdWeb48"/>
    <hyperlink ref="G56" r:id="rIdWeb49"/>
    <hyperlink ref="G57" r:id="rIdWeb50"/>
    <hyperlink ref="G58" r:id="rIdWeb51"/>
    <hyperlink ref="G59" r:id="rIdWeb52"/>
    <hyperlink ref="G60" r:id="rIdWeb53"/>
    <hyperlink ref="G61" r:id="rIdWeb54"/>
    <hyperlink ref="G62" r:id="rIdWeb55"/>
    <hyperlink ref="G63" r:id="rIdWeb56"/>
    <hyperlink ref="G64" r:id="rIdWeb57"/>
    <hyperlink ref="G65" r:id="rIdWeb58"/>
  </hyperlinks>
  <pageMargins left="0.7" right="0.7" top="0.75" bottom="0.75" header="0.3" footer="0.3"/>
  <tableParts count="1">
    <tablePart r:id="Rfb5b7ead439a45d5"/>
  </tableParts>
</worksheet>
</file>